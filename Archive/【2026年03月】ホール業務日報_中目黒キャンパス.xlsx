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sheetId="1" r:id="rId4"/>
    <sheet state="visible" name="02" sheetId="2" r:id="rId5"/>
    <sheet state="visible" name="03" sheetId="3" r:id="rId6"/>
    <sheet state="visible" name="04" sheetId="4" r:id="rId7"/>
    <sheet state="visible" name="05" sheetId="5" r:id="rId8"/>
    <sheet state="visible" name="06" sheetId="6" r:id="rId9"/>
    <sheet state="visible" name="07" sheetId="7" r:id="rId10"/>
    <sheet state="visible" name="08" sheetId="8" r:id="rId11"/>
    <sheet state="visible" name="09" sheetId="9" r:id="rId12"/>
    <sheet state="visible" name="10" sheetId="10" r:id="rId13"/>
    <sheet state="visible" name="11" sheetId="11" r:id="rId14"/>
    <sheet state="visible" name="12" sheetId="12" r:id="rId15"/>
    <sheet state="visible" name="13" sheetId="13" r:id="rId16"/>
    <sheet state="visible" name="14" sheetId="14" r:id="rId17"/>
    <sheet state="visible" name="16" sheetId="15" r:id="rId18"/>
    <sheet state="visible" name="17" sheetId="16" r:id="rId19"/>
    <sheet state="visible" name="18" sheetId="17" r:id="rId20"/>
    <sheet state="visible" name="19" sheetId="18" r:id="rId21"/>
    <sheet state="visible" name="20" sheetId="19" r:id="rId22"/>
    <sheet state="visible" name="21" sheetId="20" r:id="rId23"/>
    <sheet state="visible" name="22" sheetId="21" r:id="rId24"/>
    <sheet state="visible" name="23" sheetId="22" r:id="rId25"/>
    <sheet state="visible" name="24" sheetId="23" r:id="rId26"/>
    <sheet state="visible" name="25" sheetId="24" r:id="rId27"/>
    <sheet state="visible" name="26" sheetId="25" r:id="rId28"/>
    <sheet state="visible" name="27" sheetId="26" r:id="rId29"/>
    <sheet state="visible" name="29" sheetId="27" r:id="rId30"/>
  </sheets>
  <definedNames/>
  <calcPr/>
  <extLst>
    <ext uri="GoogleSheetsCustomDataVersion2">
      <go:sheetsCustomData xmlns:go="http://customooxmlschemas.google.com/" r:id="rId31" roundtripDataChecksum="7aYTEe22z0LKViYkvcg2xR7gh3AucVk4ujVxYA2BKlc="/>
    </ext>
  </extLst>
</workbook>
</file>

<file path=xl/sharedStrings.xml><?xml version="1.0" encoding="utf-8"?>
<sst xmlns="http://schemas.openxmlformats.org/spreadsheetml/2006/main" count="956" uniqueCount="188">
  <si>
    <t>ホ ー ル 業 務 日 報</t>
  </si>
  <si>
    <t>勤務場所</t>
  </si>
  <si>
    <t>東京音楽大学　中目黒キャンパス</t>
  </si>
  <si>
    <t>勤務時間</t>
  </si>
  <si>
    <t>氏　名</t>
  </si>
  <si>
    <t>出勤時間</t>
  </si>
  <si>
    <t>退勤時間</t>
  </si>
  <si>
    <t>備　考</t>
  </si>
  <si>
    <t>林一輝</t>
  </si>
  <si>
    <t>■業務内容</t>
  </si>
  <si>
    <t>時　間</t>
  </si>
  <si>
    <t>催 事 名</t>
  </si>
  <si>
    <t>9:00-18:30</t>
  </si>
  <si>
    <t>多文化音楽研究領域演奏会</t>
  </si>
  <si>
    <t>■本日の利用に関する資料一覧(受け取り日時)</t>
  </si>
  <si>
    <t>凡例</t>
  </si>
  <si>
    <t>説明</t>
  </si>
  <si>
    <t>【多文化音楽研究領域演奏会】
・申請書(2/26)</t>
  </si>
  <si>
    <t>申請書</t>
  </si>
  <si>
    <t>楽器室から回覧される大学の申請書</t>
  </si>
  <si>
    <t>タイムスケジュール</t>
  </si>
  <si>
    <t>タイスケ。利用全体の時間配分が記載されたもの。本番の詳しい時間配分や音響照明指示は書かれていないことがほとんど</t>
  </si>
  <si>
    <t>進行表</t>
  </si>
  <si>
    <t>リハーサルや本番に注目したタイムスケジュール。本番の詳しい時間配分や音響照明指示が記載されている</t>
  </si>
  <si>
    <t>進行台本</t>
  </si>
  <si>
    <t>進行表に「だれがどう話すか」が記載されているもの。本番内容を一番詳しく把握できる。</t>
  </si>
  <si>
    <t>■報告事項</t>
  </si>
  <si>
    <t>10:30 客席清掃
11:00 アシスタント、収録業者入館～準備セッティング 客席最後列B扉側座席　取り外し 
13:00～15:00 リハｰサル
15:25　開場
15:50　録画開始
15:55　予ベル
16:00　本ベル→開演
17:20　終演～バラシ
17:50  退館
・転換時ピアノ移動ありました
・琴 PAあり　WLハンドマイク＋卓上スタンドにてPAしました
・マイクにノイズが乗り、本番に影響ない範囲で調整。閉演後、システム再起動にて改善。</t>
  </si>
  <si>
    <t>■キーボックス管理（現在6つ管理中）</t>
  </si>
  <si>
    <t>出勤時</t>
  </si>
  <si>
    <t>退勤時</t>
  </si>
  <si>
    <t>■備考／特記事項</t>
  </si>
  <si>
    <t>【使用備品】
ピアノ、ピアノ椅子、譜面台、机、ワイヤレスマイク、ワイヤレスピンマイク、・B扉前モニター</t>
  </si>
  <si>
    <t>【未処理ディスク】
・9/29 虫明知彦博士学位審査演奏会（メディア待ち）
【処理途中ディスク】
・
【受け取り待ちディスク】
・2025/6/18 ピ演3年Dグループ(灰USB1つ)
・2/26 社会人特別講座 修了演奏会</t>
  </si>
  <si>
    <t>高橋英樹</t>
  </si>
  <si>
    <t>9:00-09:400</t>
  </si>
  <si>
    <t>FAピアノチェック</t>
  </si>
  <si>
    <t>10:00~17:00</t>
  </si>
  <si>
    <t>ピ演コース変更・転専攻・転コース実技試験</t>
  </si>
  <si>
    <t>17:00~19:00</t>
  </si>
  <si>
    <t>FAピアノチェックまたは調律</t>
  </si>
  <si>
    <t>【コース変更試験】
・申請書(2/20)</t>
  </si>
  <si>
    <t>08:30 ピアノセッティング
08:40~0910 客席、舞台清掃 
09:20~09:33 ピアノチェック
10:00~12:55試験開始 18名1名辞退
12:55~13:53昼休憩
13:55~試験再開
16:27 試験終了
16:03~ 16:42ピアノチェック又は調律
ピアノ入れ替えFAよりST
雛壇セット
・照明トラブル シーリングライト作動せづ一回目休憩時にシステム再起動、復帰しました。
⋆内気圧の問題？風の音がうるさい、ステージ上下の扉の動くのがと先生方からのご指摘が有りました。ピアノの静かな旋律の時に気になる</t>
  </si>
  <si>
    <t>【使用備品】
FAピアノ、ピアノ椅子、譜面台、机、オケ椅子</t>
  </si>
  <si>
    <t>08:00-21:30</t>
  </si>
  <si>
    <t>第20回　東京音楽大学フルートアンサンブル演奏会</t>
  </si>
  <si>
    <t>09:00~11:00</t>
  </si>
  <si>
    <t>STピアノ調律₍ピアノ庫内にて⁾</t>
  </si>
  <si>
    <t>【第20回　東京音楽大学フルートアンサンブル演奏会】
・申請書(12/24)</t>
  </si>
  <si>
    <t xml:space="preserve">07:30~08:00 客席、舞台清掃 
09:00~学生集合　ステマネ（本学　本野さん）　準備
09:00~11: 00STピアノ調律　ピアノ庫にて
10:00~打楽器搬入
10:55~12:54 13:05~16:00 大編成、小編成リハーサル
12:00 録音の学生機材セッティング
16:10~1640記念撮影
17:25 開場
17:54 録画、録音開始
17:55~ウエルカムコンサート
18:10 1ベル
18:15 開演 小編成
19:10 休憩　20分　ピアノセット
19:25 1ベル
19:30 開演 大編成
20:40 終演　片づけ　撤収
21:15退館　</t>
  </si>
  <si>
    <t>【使用備品】
STピアノ、ピアノ椅子、譜面台、机、オケ椅子,3FVモニター、雛壇</t>
  </si>
  <si>
    <t>榎戸彩珠</t>
  </si>
  <si>
    <t>09:00~21:30</t>
  </si>
  <si>
    <t>TCMオーケストラ・アカデミー特別演奏会 リハーサル</t>
  </si>
  <si>
    <t>【TCMオーケストラ・アカデミー 特別演奏会~コンチェルトの夕べ】
・申請書(2/26)
・進行表（3/4）</t>
  </si>
  <si>
    <t>08:45~08:55 舞台清掃 
08:55 ステマネの本野さんが来館、準備
ひな壇を40㎝ほど格納
09:10頃 山本さんが来館
09:25 チェンバロ搬入
STピアノを一度ピアノ庫へ移動
09:30頃 学生が来館
10:00 rリハーサル開始
1153 お昼休憩
上手ひな壇二つを上手袖に移動
12:00 チェンバロ調律
12:10 STピアノをピアノ庫から舞台中央へ移動
13:00 チェンバロ調律終了
13:00 リハーサル再開
STピアノをピアノ庫へ移動。
チェンバロを中央へ移動
16:00 リハーサル終了
リハーサル終了後一部演奏者が自主練習
17:00 完全退館　
舞台袖、舞台上セッティング等そのまま</t>
  </si>
  <si>
    <t>【使用備品】
STピアノ、ピアノ椅子、譜面台、オケ椅子、バス椅子、指揮台、指揮者譜面台、雛壇</t>
  </si>
  <si>
    <t>原田萌愛</t>
  </si>
  <si>
    <t>17:00～18:00</t>
  </si>
  <si>
    <t>3/23 オーボエ演奏会の打ち合わせ</t>
  </si>
  <si>
    <t>【TCMオーケストラ・アカデミー 特別演奏会~コンチェルトの夕べ】
・申請書(2/26)
・進行表（3/5）</t>
  </si>
  <si>
    <t>09:00~09:10 1台ピアノチェック(ピアノ庫にて)
09:10頃 山本さんが来館
09:15頃 ステマネの本野さん、学生が来館
10:00 リハーサル開始
11:05頃 お昼休憩
11:30頃 STピアノをピアノ庫から舞台中央へ移動
12:00 チェンバロ調整
12:05頃 リハーサル再開
12:15頃 ピアノ位置調整
13:45 STピアノをピアノ庫へ移動。
チェンバロを中央へ移動
15:15 リハーサル終了
リハーサル終了後一部演奏者が自主練習
15:30 STピアノをピアノ庫から舞台中央へ移動、チェンバロ調律
15:45 退館
17:00~17:30 3/23オーボエ演奏会の打ち合わせ　
舞台袖、舞台上セッティング等そのまま</t>
  </si>
  <si>
    <t>10:00~12:00</t>
  </si>
  <si>
    <t>STピアノ調律</t>
  </si>
  <si>
    <t>09:00~09:45 客席清掃
09:45~12:00 STピアノ調律
11:25 山本さんが来館
12:00 ステマネの本野さんが来館
12:00頃 STピアノをピアノ庫へ移動
12:05~12:40 チェンバロ調律
13:30 ゲネプロ開始
STピアノを舞台中央へ移動
16:40頃 ゲネプロ終了
STピアノをピアノ庫へ移動
16:45~17:40 チェンバロ調律
18:00 開場
18:30 1ベル、影アナ。18:33 開演（録画録音開始）
19:25頃 休憩
STピアノを舞台中央へ移動
19:37 1ベル。19:40 再開
20:25頃 10分程押して終演
STピアノからFAピアノに入れ替え
雛壇を格納
21:10 片づけ終了後退館</t>
  </si>
  <si>
    <t>【使用備品】
STピアノ、ピアノ椅子、譜面台、オケ椅子、バス椅子、指揮台、指揮者譜面台、雛壇、B扉モニター</t>
  </si>
  <si>
    <t>上野陽香</t>
  </si>
  <si>
    <t>09:00~18:00</t>
  </si>
  <si>
    <t>ピアノ学内卒業演奏会</t>
  </si>
  <si>
    <t>【ピアノ学内卒業演奏会】
・申請書(2/27)
・進行表</t>
  </si>
  <si>
    <t>09:00頃 担当の方が来館、準備
09:20頃 ピアノ位置調整、舞台清掃、譜面台外し
09:30 開場
09:54 録画開始
09:55 予ベル、影アナ
10:00 本ベル、影アナ、開演
演奏者交代ごとに影アナ使用
13:17 休憩(10分押し)
13:29 予ベル、影アナ
13:32 再開
16:42 12分押して終演(出演者1名欠席)
17:00頃 片づけ終了後退館
担当の方より、来場者様がクレジットカードを紛失されたとの報告があった。
どこで落とされたのかは不明との事ですが、もしホール内で発見した際は届け出をお願いします。</t>
  </si>
  <si>
    <t>【使用備品】
FAピアノ、ピアノ椅子、影アナマイク、A扉モニター、B扉モニター</t>
  </si>
  <si>
    <t>清宮眞沙羅</t>
  </si>
  <si>
    <t>11:30~21:30</t>
  </si>
  <si>
    <t>ホルン科学外演奏会</t>
  </si>
  <si>
    <t>【ホルン科学外演奏会】
・申請書(2/27)
・進行表(3/8)</t>
  </si>
  <si>
    <t>10:45 雛壇設置
11:30頃 担当の方、学生来館　準備開始
11:45頃 雛壇撤去してほしいと言われたので撤去
雛壇は写真撮影のみで使用したいとのことで設置や撤去に20～30分ほどお時間いただくと伝えたところ雛壇なしで行くことになりました。
また、ゲネプロ・本番で小編成から大編成に変わるタイミングでピアノをハケさせたいとの事で、ゲネで15分、本番で20分お時間をいただくことで対応することになりました。ピアノ移動時に行う小編成から大編成への転換は上手から行っていただくようにお願いしました。
12:20頃 ゲネプロと本番の細かい打ち合わせ
転換時の動きや照明などの確認をしました。
13:20 ゲネプロ開始
13:30頃 客席後方で映像収録するとの事で、調整室からkoya_LR回線と電源ケーブルを出しました。ケーブル類は持ち込みの物を使用しました。
(三点吊り、マイク、ベルの音をOMUNI OUTで送りました)
14：00頃 照明がまぶしいとの事で「全体」から「試験」の照明に変更になりました。本番もこちらの照明で実施。
曲中で上手での演奏者の出ハケがあるため袖の電気をそのタイミングのみ消しても良いかと相談されました。本番は利用者側でそちらの対応をしていただくことになりました。
14:35頃 FAピアノを舞台→ピアノ庫へ
16:00 ゲネ終了→写真撮影　16:45 FAピアノをピアノ庫→舞台へ
17:00 開場→17:53 録音、録画開始→17:55 予ベル、影アナ→18:00 本ベル、開演
19:00 休憩(8分押し)→19：05 録音CD交換、録音再開→19:15 予ベル、影アナ→19：20 本ベル、再開
20:10頃 終演(約7分押し)→片づけ
20:55頃 退館
床に花を引きずってしまいステージ中央に赤い汚れがあります。</t>
  </si>
  <si>
    <t>【使用備品】
FAピアノ、ピアノ椅子、オケ椅子、譜面台、指揮者台、指揮者譜面台、影アナマイク、ワイヤレスマイク、A扉モニター、B扉モニター</t>
  </si>
  <si>
    <t>9:00~10:30</t>
  </si>
  <si>
    <t>STピアノチェック</t>
  </si>
  <si>
    <t>11:00~20:30</t>
  </si>
  <si>
    <t>2025年度吹奏楽アカデミー専攻卒業演奏会</t>
  </si>
  <si>
    <t>【2025年度吹奏楽アカデミー専攻卒業演奏会】
・申請書(2/27)
・進行表(3/9)</t>
  </si>
  <si>
    <t>9:50 調律師の方が来館し調律開始
9:58 調律終了
10:50~11:00 舞台、舞台袖の清掃
12:10 担当の方と学生が来館、軽く打ち合わせたあと準備開始
13:00頃 リハーサル開始
18:00 リハーサル終了、照明などの確認をしたのち、準備でき次第開場
18:10 予ベル
18:15 録音・録画開始、本ベル、開演
19:16 休憩(8分巻き)
19:26 予ベル
19:31 本ベル、再開
19:37 終演(約8分押し)、 片づけ終了後退館
リハーサル・本番中、演奏者に合わせてピアノ位置調整
本番の転換時に一部下手扉の開閉をホールスタッフ側で対応しました。</t>
  </si>
  <si>
    <t>【使用備品】
STピアノ、ピアノ椅子、譜面台、オケ椅子、コントラバス椅子</t>
  </si>
  <si>
    <t>【未処理ディスク】
・2025/9/29 虫明知彦博士学位審査演奏会（メディア待ち）
・3/9 2025年度吹奏楽アカデミー専攻卒業演奏会(メディア受取済み)
【処理途中ディスク】
・
【受け取り待ちディスク】
・2025/6/18 ピ演3年Dグループ(灰USB1つ)
・2/26 社会人特別講座 修了演奏会</t>
  </si>
  <si>
    <t>12:00~2130</t>
  </si>
  <si>
    <t>2025年度　クラリネット科　学外演奏会</t>
  </si>
  <si>
    <t>【2025年度　クラリネット科　学外演奏会】
・申請書(3/5)
・</t>
  </si>
  <si>
    <t xml:space="preserve">08:30~10:45 ホール客席、舞台清掃
10:00位 舞台面状況確認、検証写真撮影
11:40 担当の学生が来館、打ち合わせたあと準備開始
11:45 雛壇設営、社会連携　鈴木さんホルン演奏会での舞台の現状確認
12:40~ 小編成リハーサル開始 20分6組
15:00~ 大編成リハーサル開始
17:00 リハーサル終了後、写真撮影
17:45 開場 
18:20 プレコンサート
18:28 予ベル
18:30 開演
19:21 休憩 15分
19:31 予ベル
19:36 本ベル、再開
21:20 終演、 片づけ終了後退館
</t>
  </si>
  <si>
    <t>【使用備品】
譜面台、オケ椅子、ピアノ椅子、指揮者譜面台、指揮者台、
バス椅子</t>
  </si>
  <si>
    <t>８:35</t>
  </si>
  <si>
    <t>09:00~21:00</t>
  </si>
  <si>
    <t>吹奏楽アカデミー専攻サクソフォーン科第4回定期演奏会</t>
  </si>
  <si>
    <t>【吹奏楽アカデミー専攻サクソフォーン科第4回定期演奏会】
・申請書(2/27)
・タイムスケジュール</t>
  </si>
  <si>
    <t xml:space="preserve">09:10 担当の学生が来館、照明等を打ち合わせたあと準備開始
09:57 ゲネプロ開始
13:00～14:45 休憩
15:15 MC中のスポット明かりが欲しいと言われたため対応した
15:50 ゲネプロ終了→写真撮影
16:40 開場、転換時の照明確認
17:00頃 開場 
17:55 予ベル、影アナ、録画開始
18:05 開演(5分押し)
18:44 休憩(4分押し、15→13分に時間変更)
ホール見学の方が来館され、舞台袖のみ見学されました。
18:52 予ベル、影アナ
18:57 本ベル、再開
20:02 終演、 片づけ
2045 退館
</t>
  </si>
  <si>
    <t>【使用備品】
譜面台、オケ椅子、ピアノ椅子、ワイヤレスマイク、影アナマイク、B扉モニター</t>
  </si>
  <si>
    <t>09:00~17:00</t>
  </si>
  <si>
    <t>FAピアノ保守点検</t>
  </si>
  <si>
    <t>【】
・申請書(/)
・</t>
  </si>
  <si>
    <t xml:space="preserve">08:30~10:00 舞台、客席清掃
09:10~17:00 調律師　来校　保守点検
10:00~ DVDダビング製作
15:20~ 16:50ピアノ庫　徐加湿器の点検、清掃
17:10 退館
</t>
  </si>
  <si>
    <t>【使用備品】
FAピアノ、ピアノ椅子、机、電源ケーブル</t>
  </si>
  <si>
    <t xml:space="preserve">【未処理ディスク】
・2025/9/29 虫明知彦博士学位審査演奏会（メディア待ち）
【処理途中ディスク】
・
【受け取り待ちディスク】
・2025/6/18 ピ演3年Dグループ(灰USB1つ)
・2/26 社会人特別講座 修了演奏会
・3/9 2025年度吹奏楽アカデミー専攻卒業演奏会
</t>
  </si>
  <si>
    <t>FAピアノ保守点検 2日目</t>
  </si>
  <si>
    <t>16:00~17:00</t>
  </si>
  <si>
    <t>3/19 20  菅原アレンジコレクション　下見・打合せ</t>
  </si>
  <si>
    <t xml:space="preserve">08:30~10:00 舞台、客席清掃
09:10~17:00 調律師　来校　保守点検
10:00~ 舞台　床シミ状況　映像確認
16:00~ 16:20 日本テレビ　カメラ位置確認　下見・打合せ
17:45 退館
</t>
  </si>
  <si>
    <t>09:30~21:00</t>
  </si>
  <si>
    <t>プロジェクトQ全曲演奏会</t>
  </si>
  <si>
    <t>【プロジェクトQ全曲演奏器】
・申請書(3/10)
・タイムスケジュール</t>
  </si>
  <si>
    <t>09:08 受付の山本様来館
09:25 桑原様、森様来館
10:00 ゲネプロ開始
12:10 ゲネプロ終了
12:25 開場
12:59 録画、録音開始
13:00 公演①開演。照明は「全体」
桑原様よりキューあり
14:50 公演①終演
15:08 ゲネプロ開始
17:22 ゲネプロ終了
17:25 開場
17:59 録画、録音開始
18:00 公演②開演
20:15 終演
21:18 退館
収録送りは三点吊りのみ。LRを2回線、調整室の卓のOMNI OUTから配線</t>
  </si>
  <si>
    <t>【使用備品】
ピアノ椅子、譜面台、ワイヤレスマイク、B扉モニター</t>
  </si>
  <si>
    <t>池袋へ移動</t>
  </si>
  <si>
    <t>坂本 渉</t>
  </si>
  <si>
    <t>11:00~12:00</t>
  </si>
  <si>
    <t>打ち合わせ</t>
  </si>
  <si>
    <t>【】
・申請書()</t>
  </si>
  <si>
    <t>11:00~12:00 担当の方来館され打ち合わせ
STピアノ舞台へ移動してます。
プロジェクター小、スクリーン小は舞台へ移動してありますが、セッティング等はしてないです。</t>
  </si>
  <si>
    <t xml:space="preserve">【使用備品】
</t>
  </si>
  <si>
    <t>入試準備（ピアノ調律）</t>
  </si>
  <si>
    <t>09:00~10:45 STピアノ調律 
11:00~12:10 ホール清掃
PC用音声チェック済み</t>
  </si>
  <si>
    <t>【使用備品】
STピアノ、ピアノ椅子、長机、オケ椅子</t>
  </si>
  <si>
    <t>09:00~19:00</t>
  </si>
  <si>
    <t>学部入試（一般選抜B日程）</t>
  </si>
  <si>
    <t>【学部入試（一般選抜B日程）】
・申請書(3/13)</t>
  </si>
  <si>
    <t>09:00~09:40 STピアノチェック 
08:30~09:10 客席、舞台清掃
09:15~09:35 プロジェクター、スクリーン設置
10:00~12:20 入試試験 7名〈1名動画審査）　途中休憩7分
12:41~13:40 昼食休憩
13:40~15:32 入試試験 4名（1名休み）　途中休憩7分
ホールプロジェクター入力切替出来ず、総務課のプロジェクター代用
明日準備、雛壇、照明　設営</t>
  </si>
  <si>
    <t>【使用備品】
STピアノ、ピアノ椅子、長机、オケ椅子、スクリーン小、</t>
  </si>
  <si>
    <t>09:00~20:00</t>
  </si>
  <si>
    <t>菅原先生アレンジコレクション　リハーサル</t>
  </si>
  <si>
    <t>【菅原先生アレンジコレクション）】
・申請書(1/27/)</t>
  </si>
  <si>
    <t>08:30~09:00 舞台、客席清掃
09:00~楽器搬入 雛壇、組み換え　ステマネ　本学　本野さん
11:00~リハーサル
13:00~1400昼休憩　照明、位置直し
14:00~15:30リハーサル続き
15::3~明かり確認
17:10~18:05リハーサル続き
明日準備</t>
  </si>
  <si>
    <t>【使用備品】
雛壇、長机、オケ椅子、</t>
  </si>
  <si>
    <t>菅原先生アレンジコレクション</t>
  </si>
  <si>
    <t>【菅原先生アレンジコレクション）】
・申請書(1/27)
・進行表(3/19)
・台本(3/19)</t>
  </si>
  <si>
    <t>08:30~09:00 舞台、客席清掃
09:00~外部収録の日テレさん来館、準備
9:30～出演者来館、練習
11:00~11:15 照明確認
11:15~14:15ゲネプロ
ゲネプロ終了後、自主練習
15:00 開場
15:45 影アナ
15:53 録音・録画開始
15:55 1ベル、影アナ
16:00 開演
16:48 20分休憩
17:03 1ベル、影アナ
17:08 再開
17:47 終演、片づけ開始
19:25 完全退館
ピアノ舞台へ移動済み
プロジェクター設置済み</t>
  </si>
  <si>
    <t>【使用備品】
雛壇、長机、オケ椅子、譜面台、指揮者譜面台、ワイヤレスマイク、影アナマイク、B扉モニター</t>
  </si>
  <si>
    <t>9:00~17:00</t>
  </si>
  <si>
    <t>オープンキャンパス 準備・リハーサル</t>
  </si>
  <si>
    <t>17:00~20:00</t>
  </si>
  <si>
    <t>ACT Project リハーサル</t>
  </si>
  <si>
    <t>【春のオープンキャンパス】
・申請書(3/7)
・進行台本(3/21)
【ACT Project】
・申請書(3/9)
・進行表(3/21)</t>
  </si>
  <si>
    <t>10:00~10:20 舞台、客席清掃
10:20 オープンキャンパスの担当の方来館
ピアノの位置調整、譜面台外し
10:30～12:00 コンサートリハーサル
12:10 PC、プロジェクター準備
12:20~13:30 大学案内説明リハーサル・準備
12:20頃 調律師の方来館
12:30~15:25 ピアノ調律
15:25~16:10 スクリーン設置、プロジェクター調整、音の確認
16:15 雛台設置
16:45 ACT Projectの学生来館、準備
17:20頃 ムービング操作のレクチャー
17:30~17:55 全体の流れの確認
18:00~19:00 ACT Projectリハーサル
19:05~ 小返し、片づけ
20:10 完全退館
プロジェクター、スクリーン、演台そのまま</t>
  </si>
  <si>
    <t>【使用備品】
「大学主催ウェルカムコンサート」
ピアノ、ピアノ椅子、プロジェクター大、スクリーン大、ワイヤレスマイク、卓上マイクスタンド、演台
「ACTプロジェクト演奏会」
ピアノ、ピアノ椅子、オケ椅子、譜面台、指揮者譜面台、雛壇、ワイヤレスマイク</t>
  </si>
  <si>
    <t>8:30~11:40</t>
  </si>
  <si>
    <t>春のオープンキャンパス 大学説明、ウェルカムコンサート</t>
  </si>
  <si>
    <t>11:40~13:00</t>
  </si>
  <si>
    <t>春のオープンキャンパス_ピアノ部会セミナー</t>
  </si>
  <si>
    <t>13:00~16:30</t>
  </si>
  <si>
    <t>春のオープンキャンパス_ACTプロジェクトコンサート</t>
  </si>
  <si>
    <t xml:space="preserve">【大学説明、ウェルカムコンサート】
・申請書(3/7)
・進行台本(3/21)
【ピアノ部会セミナー】
・申請書(3/9)
</t>
  </si>
  <si>
    <t>【ACT プロジェクト】
・申請書(3/9)
・進行表(3/21)</t>
  </si>
  <si>
    <t xml:space="preserve">08:40頃 オープンキャンパスの担当の方来館
ピアノの位置調整、譜面台外し
09:20 開場
09:57 録画開始
10:00 大学説明会 開始
10:52 説明会終了、スクリーン撤去
10:57 1ベル、影アナ
録画・録音開始
11:00 ウェルカムコンサート 開演
11:37 ウェルカムコンサート 終了、ピアノ部会セミナー準備
11:40頃 ピアノ部会セミナーの方来館
11:58 録画開始
12:02 ピアノ部会セミナー 開始
12:58 ACTプロジェクトの学生来館
13:05 ピアノ部会セミナー 終了(15分押し)
13:05~ プロジェクター撤去、雛壇だし、ACTプロジェクト準備
13:38 開場
13:55 予ベル、影アナ
14:00 本ベル、開演
15:05 終演
写真撮影後片づけ
15:55 退館
※301で譜面台を使用したいとのことでラックごと譜面台を50本貸し出しました。
　17:30までo使用しているとのことで返却のタイミングによってはホール入り口前に返却するとのこと。
　ラック3台です。
</t>
  </si>
  <si>
    <t>【使用備品】
「春のオープンキャンパス_大学説明・ウェルカムコンサート」
ピアノ、背ありピアノ椅子、背無しピアノ椅子プロジェクター大、スクリーン大、ワイヤレスマイク、卓上マイクスタンド、演台
「春のオープンキャンパス_ピアノ部会セミナー」
ピアノ、背ありピアノ椅子、ワイヤレスマイク、プロジェクター小、スクリーン小
「春のオープンキャンパス_ACTプロジェクトコンサート」
ピアノ、背ありピアノ椅子、背無しピアノ椅子、オケ椅子、譜面台、指揮者譜面台、雛壇、ワイヤレスマイク</t>
  </si>
  <si>
    <t xml:space="preserve">【未処理ディスク】
・2025/9/29 虫明知彦博士学位審査演奏会（メディア待ち）
・3/22 春のオープンキャンパス‗ウェルカムコンサート(CD済、DVD未)
・3/22 春のオープンキャンパス_ACTプロジェクト(USB)
【処理途中ディスク】
・
【受け取り待ちディスク】
・2025/6/18 ピ演3年Dグループ(灰USB1つ)
・2/26 社会人特別講座 修了演奏会
・3/9 2025年度吹奏楽アカデミー専攻卒業演奏会
</t>
  </si>
  <si>
    <t>原田 萌愛</t>
  </si>
  <si>
    <t>11:00～20:30</t>
  </si>
  <si>
    <t>学生主催オーボエ定期演奏会</t>
  </si>
  <si>
    <t>【オーボエ科定期演奏会】
・申請書(3/9)
・タイムテーブル(3/23)
・舞台図面(3/23)</t>
  </si>
  <si>
    <t>10:45 ホール舞台袖・客席・舞台上の清掃
11:54 学生来館
12:30 準備開始
13:30~16:30頃 リハーサル
17:00 開場
17:25 影アナ
17:30 本ベル、開演
18:05 20分休憩
18:20 予ベル、影アナ
18:25 本ベル、再開
19:03 終演、片づけ
20:20 退館</t>
  </si>
  <si>
    <t>【使用備品】
ピアノ、ピアノ椅子、オケ椅子、譜面台、雛壇、ワイヤレスマイク</t>
  </si>
  <si>
    <t>【未処理ディスク】
・2025/9/29 虫明知彦博士学位審査演奏会（メディア待ち）
【処理途中ディスク】
【受け取り待ちディスク】
・2025/6/18 ピ演3年Dグループ(灰USB1つ)
・2/26 社会人特別講座 修了演奏会
・3/22 春のオープンキャンパス‗ウェルカムコンサート(CD、DVD)
・3/22 春のオープンキャンパス_ACTプロジェクト(USB)</t>
  </si>
  <si>
    <t>10:00～21:30</t>
  </si>
  <si>
    <t>服部洋一教授　退任記念レクチャーコンサート</t>
  </si>
  <si>
    <t>【服部洋一教授　退任記念レクチャーコンサート】
・申請書(2/14)
・タイムテーブル(2/14)
・(/)</t>
  </si>
  <si>
    <t>08:30 ホール舞台袖・客席・舞台上の清掃
10:00~12:00 FAピアノ調律
11:30 ピアニスト、声楽科職員、先生、服部先生入り
12:00~13:00 ピアノリハーサル
13:00~14:00 プロジェクター　仕込み
14:00~14:30 映像、テクニカルリハ 
14:30~16:30 リハーサル。写真撮影
16:30~17:15 練習
17:15~ 最終チェック
17:30 開場
17:55 一ベル、影アナ,録音、録画
18:00 本ベル 開演
18: 53 15分休憩
19:06 i一ベル、 
19: 08 再開
20:10 終演、片づけ
21:00 退館 ピアノ入れ替え、ダビング</t>
  </si>
  <si>
    <t>【使用備品】
FAピアノ、ピアノ椅子、オケ椅子、譜面台、ワイヤレスマイク,ピンマイク、影マイク</t>
  </si>
  <si>
    <t>14:00～15:00</t>
  </si>
  <si>
    <t>3/29 Daikanyama fes 下見</t>
  </si>
  <si>
    <t>【3/29 Daikanyama fes 下見】
・申請書(3/7)</t>
  </si>
  <si>
    <t xml:space="preserve">12:40 ホール舞台袖 清掃
13:00 音響機器メンテナンス データのバックアップを実施。
13:45 ピアノ庫のエアコン点検下見の立会
14:05 3/29 Daikanyama fes下見 の立会。下見と聞いていたが、ピンマイクのテストや照明機器をつかって簡単なダンス練習を行っていた。念の為社会連携部に共有済み。
15:10 ホール客席 清掃
</t>
  </si>
  <si>
    <t>【使用備品】
照明卓、トラスMV、ピンマイク</t>
  </si>
  <si>
    <t>08:30~12:30</t>
  </si>
  <si>
    <t>岡山県明誠学院高等学校の大学見学</t>
  </si>
  <si>
    <t>【岡山県明誠学園高等学校の大学見学】
・申請書(3/11)</t>
  </si>
  <si>
    <t>08:20 利用者の方が来館
09:20頃 明誠学院高等学校の生徒が来館
09:35頃 学校紹介映像
09:40頃 進学説明
10:10頃 ウェルカム演奏
10:40頃 特別演奏
11:00 外囿先生の挨拶
11:15 施設見学（生徒ホール一時退館）
11:30~11:35 舞台床の状況の確認のために大学職員等が数人が来館
11:45頃 施設見学から戻り始めました
12:00 完全退館
13:00~13:15 ホール袖清掃</t>
  </si>
  <si>
    <t>【使用備品】
STピアノ、オケ椅子、譜面台、ワイヤレスマイク、プロジェクター、スクリーン、長机</t>
  </si>
  <si>
    <t xml:space="preserve">【未処理ディスク】
・2025/9/29 虫明知彦博士学位審査演奏会（メディア待ち）
【処理途中ディスク】
【受け取り待ちディスク】
・2025/6/18 ピ演3年Dグループ(灰USB1つ)
・2/26 社会人特別講座 修了演奏会
・3/22 春のオープンキャンパス‗ウェルカムコンサート(CD、DVD)
</t>
  </si>
  <si>
    <t>7:45-9:45</t>
  </si>
  <si>
    <t>8:00-19:00</t>
  </si>
  <si>
    <t>教育芸術社スプリングセミナー</t>
  </si>
  <si>
    <t>【教育芸術社スプリングセミナー】
・申請書(3/7)</t>
  </si>
  <si>
    <t>07:40 調律師来館
8:00　設営開始
10:00頃 リハーサル開始
11:50頃 リハーサル終了
12:40 REC開始
12:00　開場
12:45　開演(5分前1ベル オンタイム本ベル)
17:30  終了(15分押し)
18:00 完全退館
・外部録音業者 3点吊り(持ち込み吊り替え)、上下床コン計5回線使用。卓位置下手袖中継架前。
・明かりは全体フル/DLフル
・スクリーン小　上手にて使用。PJは客席最前上手側に設置。
・本番MC中、ピンマイクオンオフ有り</t>
  </si>
  <si>
    <t>【使用備品】
STピアノ、ピアノ椅子、譜面台、ワイヤレスマイク、ピンマイク、プロジェクター小、スクリーン小、長机</t>
  </si>
  <si>
    <t>8:00~21:30</t>
  </si>
  <si>
    <t>Daikanyama Bloom Festival</t>
  </si>
  <si>
    <t>【Daikanyama Bloom Festival】
・申請書(3/26)
・タイムスケジュール(3/26)</t>
  </si>
  <si>
    <t>07:55 舞台監督の方々来館
08:00~8:20 照明シュート (1SUSの凸x1、SFx2、2SUSの凸 x1)
08:20~8:30 仕込み
08:35~9:33 リハーサル(メシアン)
9:00頃 録画開始(記録用の1日録画)
09:37 開場
10:00 １ベル、影アナ
10:05~11:00 本番(メシアン)、録音
11:15 照明シュート
11:25~12:30 リハーサル(ランチタイムコンサート)
12:35 開場
12:57 1ベル、影アナ
13:00~13:52 本番(ランチタイムコンサート)、録音
14:10~14:45 リハーサル(ラ・セーニャス)
15:00 開場
15:30~16:20 本番(ラ・セーニャス)、録音
17:00 開場
17:27 1ベル、影アナ
17:30~17:25 本番(ラ・セーニャス)、録音
19:35 開場
19:55 １ベル、影アナ
20:03~21:09 本番(メシアン)、録音
~21:40頃 片づけが終了し退館
照明 外部乗り込みの方が操作
ラ・セーニャスの前後でFAピアノをピアノ庫から出し入れしました。</t>
  </si>
  <si>
    <t>【使用備品】
FAピアノ、背付きピアノ椅子、ベンチ椅子、譜面台、ワイヤレスマイク、マイクスタンド、ムービング</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</si>
</sst>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年&quot;mm&quot;月&quot;dd&quot;日(&quot;ddd&quot;)&quot;"/>
    <numFmt numFmtId="165" formatCode="&quot;記入者：&quot;@"/>
    <numFmt numFmtId="166" formatCode="#&quot;/6&quot;"/>
    <numFmt numFmtId="167" formatCode="m/d"/>
  </numFmts>
  <fonts count="10">
    <font>
      <sz val="12.0"/>
      <color theme="1"/>
      <name val="Calibri"/>
      <scheme val="minor"/>
    </font>
    <font>
      <sz val="20.0"/>
      <color theme="1"/>
      <name val="Meiryo"/>
    </font>
    <font>
      <sz val="12.0"/>
      <color theme="1"/>
      <name val="Meiryo"/>
    </font>
    <font>
      <u/>
      <sz val="12.0"/>
      <color theme="1"/>
      <name val="Meiryo"/>
    </font>
    <font/>
    <font>
      <u/>
      <sz val="12.0"/>
      <color theme="1"/>
      <name val="Meiryo"/>
    </font>
    <font>
      <sz val="12.0"/>
      <color theme="1"/>
      <name val="Calibri"/>
    </font>
    <font>
      <sz val="9.0"/>
      <color theme="1"/>
      <name val="Arial"/>
    </font>
    <font>
      <sz val="9.0"/>
      <color theme="1"/>
      <name val="Meiryo"/>
    </font>
    <font>
      <sz val="10.0"/>
      <color theme="1"/>
      <name val="Meiryo"/>
    </font>
  </fonts>
  <fills count="5">
    <fill>
      <patternFill patternType="none"/>
    </fill>
    <fill>
      <patternFill patternType="lightGray"/>
    </fill>
    <fill>
      <patternFill patternType="solid">
        <fgColor rgb="FFE7E6E6"/>
        <bgColor rgb="FFE7E6E6"/>
      </patternFill>
    </fill>
    <fill>
      <patternFill patternType="solid">
        <fgColor rgb="FFD9EAD3"/>
        <bgColor rgb="FFD9EAD3"/>
      </patternFill>
    </fill>
    <fill>
      <patternFill patternType="solid">
        <fgColor rgb="FFCFE2F3"/>
        <bgColor rgb="FFCFE2F3"/>
      </patternFill>
    </fill>
  </fills>
  <borders count="33">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thin">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dotted">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right style="thin">
        <color rgb="FF000000"/>
      </right>
      <bottom style="hair">
        <color rgb="FF000000"/>
      </bottom>
    </border>
  </borders>
  <cellStyleXfs count="1">
    <xf borderId="0" fillId="0" fontId="0" numFmtId="0" applyAlignment="1" applyFont="1"/>
  </cellStyleXfs>
  <cellXfs count="76">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164" xfId="0" applyAlignment="1" applyFont="1" applyNumberFormat="1">
      <alignment horizontal="right" readingOrder="0" vertical="center"/>
    </xf>
    <xf borderId="0" fillId="0" fontId="2" numFmtId="164" xfId="0" applyAlignment="1" applyFont="1" applyNumberFormat="1">
      <alignment horizontal="right" vertical="center"/>
    </xf>
    <xf borderId="1" fillId="0" fontId="3" numFmtId="165" xfId="0" applyAlignment="1" applyBorder="1" applyFont="1" applyNumberFormat="1">
      <alignment horizontal="right" vertical="center"/>
    </xf>
    <xf borderId="1" fillId="0" fontId="4" numFmtId="0" xfId="0" applyAlignment="1" applyBorder="1" applyFont="1">
      <alignment vertical="center"/>
    </xf>
    <xf borderId="0" fillId="0" fontId="5" numFmtId="165" xfId="0" applyAlignment="1" applyFont="1" applyNumberFormat="1">
      <alignment horizontal="right" vertical="center"/>
    </xf>
    <xf borderId="2" fillId="2" fontId="2" numFmtId="0" xfId="0" applyAlignment="1" applyBorder="1" applyFill="1" applyFont="1">
      <alignment horizontal="center" vertical="center"/>
    </xf>
    <xf borderId="3" fillId="0" fontId="2" numFmtId="0" xfId="0" applyAlignment="1" applyBorder="1" applyFont="1">
      <alignment vertical="center"/>
    </xf>
    <xf borderId="4" fillId="0" fontId="4" numFmtId="0" xfId="0" applyAlignment="1" applyBorder="1" applyFont="1">
      <alignment vertical="center"/>
    </xf>
    <xf borderId="5" fillId="0" fontId="4" numFmtId="0" xfId="0" applyAlignment="1" applyBorder="1" applyFont="1">
      <alignment vertical="center"/>
    </xf>
    <xf borderId="0" fillId="0" fontId="2" numFmtId="0" xfId="0" applyAlignment="1" applyFont="1">
      <alignment vertical="center"/>
    </xf>
    <xf borderId="3" fillId="2" fontId="2" numFmtId="0" xfId="0" applyAlignment="1" applyBorder="1" applyFont="1">
      <alignment horizontal="center" vertical="center"/>
    </xf>
    <xf borderId="0" fillId="0" fontId="2" numFmtId="0" xfId="0" applyAlignment="1" applyFont="1">
      <alignment horizontal="center" vertical="center"/>
    </xf>
    <xf borderId="6" fillId="0" fontId="2" numFmtId="0" xfId="0" applyAlignment="1" applyBorder="1" applyFont="1">
      <alignment horizontal="center" vertical="center"/>
    </xf>
    <xf borderId="7" fillId="0" fontId="2" numFmtId="20" xfId="0" applyAlignment="1" applyBorder="1" applyFont="1" applyNumberFormat="1">
      <alignment horizontal="center" readingOrder="0" vertical="center"/>
    </xf>
    <xf borderId="6" fillId="0" fontId="2" numFmtId="20" xfId="0" applyAlignment="1" applyBorder="1" applyFont="1" applyNumberFormat="1">
      <alignment horizontal="center" readingOrder="0" vertical="center"/>
    </xf>
    <xf borderId="8" fillId="0" fontId="2" numFmtId="0" xfId="0" applyAlignment="1" applyBorder="1" applyFont="1">
      <alignment vertical="center"/>
    </xf>
    <xf borderId="9" fillId="0" fontId="4" numFmtId="0" xfId="0" applyAlignment="1" applyBorder="1" applyFont="1">
      <alignment vertical="center"/>
    </xf>
    <xf borderId="10" fillId="0" fontId="4" numFmtId="0" xfId="0" applyAlignment="1" applyBorder="1" applyFont="1">
      <alignment vertical="center"/>
    </xf>
    <xf borderId="11" fillId="0" fontId="2" numFmtId="20" xfId="0" applyAlignment="1" applyBorder="1" applyFont="1" applyNumberFormat="1">
      <alignment horizontal="center" vertical="center"/>
    </xf>
    <xf borderId="6" fillId="0" fontId="2" numFmtId="20" xfId="0" applyAlignment="1" applyBorder="1" applyFont="1" applyNumberFormat="1">
      <alignment horizontal="center" vertical="center"/>
    </xf>
    <xf borderId="12" fillId="0" fontId="2" numFmtId="0" xfId="0" applyAlignment="1" applyBorder="1" applyFont="1">
      <alignment vertical="center"/>
    </xf>
    <xf borderId="13" fillId="0" fontId="4" numFmtId="0" xfId="0" applyAlignment="1" applyBorder="1" applyFont="1">
      <alignment vertical="center"/>
    </xf>
    <xf borderId="14" fillId="0" fontId="4"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17" fillId="0" fontId="2" numFmtId="0" xfId="0" applyAlignment="1" applyBorder="1" applyFont="1">
      <alignment vertical="center"/>
    </xf>
    <xf borderId="18" fillId="0" fontId="4" numFmtId="0" xfId="0" applyAlignment="1" applyBorder="1" applyFont="1">
      <alignment vertical="center"/>
    </xf>
    <xf borderId="19" fillId="0" fontId="4" numFmtId="0" xfId="0" applyAlignment="1" applyBorder="1" applyFont="1">
      <alignment vertical="center"/>
    </xf>
    <xf borderId="3" fillId="2" fontId="2" numFmtId="0" xfId="0" applyAlignment="1" applyBorder="1" applyFont="1">
      <alignment vertical="center"/>
    </xf>
    <xf borderId="2" fillId="0" fontId="2" numFmtId="0" xfId="0" applyAlignment="1" applyBorder="1" applyFont="1">
      <alignment horizontal="center" vertical="center"/>
    </xf>
    <xf borderId="3" fillId="0" fontId="2" numFmtId="0" xfId="0" applyAlignment="1" applyBorder="1" applyFont="1">
      <alignment horizontal="center" vertical="center"/>
    </xf>
    <xf borderId="6" fillId="0" fontId="2" numFmtId="0" xfId="0" applyAlignment="1" applyBorder="1" applyFont="1">
      <alignment horizontal="center" readingOrder="0" vertical="center"/>
    </xf>
    <xf borderId="8" fillId="0" fontId="2" numFmtId="0" xfId="0" applyAlignment="1" applyBorder="1" applyFont="1">
      <alignment horizontal="center" readingOrder="0" vertical="center"/>
    </xf>
    <xf borderId="20" fillId="0" fontId="2"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12" fillId="0" fontId="2" numFmtId="0" xfId="0" applyAlignment="1" applyBorder="1" applyFont="1">
      <alignment horizontal="center" vertical="center"/>
    </xf>
    <xf borderId="15" fillId="0" fontId="2" numFmtId="20" xfId="0" applyAlignment="1" applyBorder="1" applyFont="1" applyNumberFormat="1">
      <alignment horizontal="center" vertical="center"/>
    </xf>
    <xf borderId="17" fillId="0" fontId="2" numFmtId="0" xfId="0" applyAlignment="1" applyBorder="1" applyFont="1">
      <alignment horizontal="center" vertical="center"/>
    </xf>
    <xf borderId="0" fillId="0" fontId="6" numFmtId="0" xfId="0" applyAlignment="1" applyFont="1">
      <alignment vertical="center"/>
    </xf>
    <xf borderId="2" fillId="0" fontId="6" numFmtId="0" xfId="0" applyAlignment="1" applyBorder="1" applyFont="1">
      <alignment horizontal="center" vertical="center"/>
    </xf>
    <xf borderId="23" fillId="0" fontId="7" numFmtId="0" xfId="0" applyAlignment="1" applyBorder="1" applyFont="1">
      <alignment readingOrder="0" vertical="top"/>
    </xf>
    <xf borderId="24" fillId="0" fontId="4" numFmtId="0" xfId="0" applyAlignment="1" applyBorder="1" applyFont="1">
      <alignment vertical="center"/>
    </xf>
    <xf borderId="23" fillId="0" fontId="7" numFmtId="0" xfId="0" applyAlignment="1" applyBorder="1" applyFont="1">
      <alignment vertical="top"/>
    </xf>
    <xf borderId="25" fillId="0" fontId="4" numFmtId="0" xfId="0" applyAlignment="1" applyBorder="1" applyFont="1">
      <alignment vertical="center"/>
    </xf>
    <xf borderId="2" fillId="0" fontId="6" numFmtId="0" xfId="0" applyAlignment="1" applyBorder="1" applyFont="1">
      <alignment vertical="center"/>
    </xf>
    <xf borderId="26" fillId="0" fontId="4" numFmtId="0" xfId="0" applyAlignment="1" applyBorder="1" applyFont="1">
      <alignment vertical="center"/>
    </xf>
    <xf borderId="27" fillId="0" fontId="4" numFmtId="0" xfId="0" applyAlignment="1" applyBorder="1" applyFont="1">
      <alignment vertical="center"/>
    </xf>
    <xf borderId="28" fillId="0" fontId="4" numFmtId="0" xfId="0" applyAlignment="1" applyBorder="1" applyFont="1">
      <alignment vertical="center"/>
    </xf>
    <xf borderId="29" fillId="0" fontId="4" numFmtId="0" xfId="0" applyAlignment="1" applyBorder="1" applyFont="1">
      <alignment vertical="center"/>
    </xf>
    <xf borderId="23" fillId="0" fontId="8" numFmtId="0" xfId="0" applyAlignment="1" applyBorder="1" applyFont="1">
      <alignment horizontal="left" readingOrder="0" shrinkToFit="0" vertical="top" wrapText="1"/>
    </xf>
    <xf borderId="0" fillId="0" fontId="2" numFmtId="0" xfId="0" applyAlignment="1" applyFont="1">
      <alignment shrinkToFit="0" vertical="top" wrapText="1"/>
    </xf>
    <xf borderId="3" fillId="3" fontId="2" numFmtId="0" xfId="0" applyAlignment="1" applyBorder="1" applyFill="1" applyFont="1">
      <alignment horizontal="right" vertical="center"/>
    </xf>
    <xf borderId="30" fillId="3" fontId="2" numFmtId="166" xfId="0" applyAlignment="1" applyBorder="1" applyFont="1" applyNumberFormat="1">
      <alignment horizontal="center" vertical="center"/>
    </xf>
    <xf borderId="3" fillId="4" fontId="2" numFmtId="0" xfId="0" applyAlignment="1" applyBorder="1" applyFill="1" applyFont="1">
      <alignment horizontal="right" vertical="center"/>
    </xf>
    <xf borderId="30" fillId="4" fontId="2" numFmtId="167" xfId="0" applyAlignment="1" applyBorder="1" applyFont="1" applyNumberFormat="1">
      <alignment horizontal="center" vertical="center"/>
    </xf>
    <xf borderId="23" fillId="0" fontId="2" numFmtId="0" xfId="0" applyAlignment="1" applyBorder="1" applyFont="1">
      <alignment readingOrder="0" shrinkToFit="0" vertical="top" wrapText="1"/>
    </xf>
    <xf borderId="24" fillId="0" fontId="9" numFmtId="0" xfId="0" applyAlignment="1" applyBorder="1" applyFont="1">
      <alignment shrinkToFit="0" vertical="top" wrapText="1"/>
    </xf>
    <xf borderId="0" fillId="0" fontId="2" numFmtId="0" xfId="0" applyAlignment="1" applyFont="1">
      <alignment vertical="top"/>
    </xf>
    <xf borderId="2" fillId="0" fontId="2" numFmtId="0" xfId="0" applyAlignment="1" applyBorder="1" applyFont="1">
      <alignment vertical="center"/>
    </xf>
    <xf borderId="20" fillId="0" fontId="2" numFmtId="0" xfId="0" applyAlignment="1" applyBorder="1" applyFont="1">
      <alignment horizontal="center" readingOrder="0" vertical="center"/>
    </xf>
    <xf borderId="12" fillId="0" fontId="2" numFmtId="0" xfId="0" applyAlignment="1" applyBorder="1" applyFont="1">
      <alignment horizontal="center" readingOrder="0" vertical="center"/>
    </xf>
    <xf borderId="11" fillId="0" fontId="2" numFmtId="20" xfId="0" applyAlignment="1" applyBorder="1" applyFont="1" applyNumberFormat="1">
      <alignment horizontal="center" readingOrder="0" vertical="center"/>
    </xf>
    <xf borderId="31" fillId="0" fontId="2" numFmtId="20" xfId="0" applyAlignment="1" applyBorder="1" applyFont="1" applyNumberFormat="1">
      <alignment horizontal="center" readingOrder="0" vertical="center"/>
    </xf>
    <xf borderId="32" fillId="0" fontId="2" numFmtId="20" xfId="0" applyAlignment="1" applyBorder="1" applyFont="1" applyNumberFormat="1">
      <alignment horizontal="center" readingOrder="0" vertical="center"/>
    </xf>
    <xf borderId="24" fillId="0" fontId="9" numFmtId="0" xfId="0" applyAlignment="1" applyBorder="1" applyFont="1">
      <alignment readingOrder="0" shrinkToFit="0" vertical="top" wrapText="1"/>
    </xf>
    <xf borderId="11" fillId="0" fontId="2" numFmtId="0" xfId="0" applyAlignment="1" applyBorder="1" applyFont="1">
      <alignment horizontal="center" readingOrder="0" vertical="center"/>
    </xf>
    <xf borderId="31" fillId="0" fontId="2" numFmtId="0" xfId="0" applyAlignment="1" applyBorder="1" applyFont="1">
      <alignment horizontal="center" vertical="center"/>
    </xf>
    <xf borderId="8" fillId="0" fontId="2" numFmtId="0" xfId="0" applyAlignment="1" applyBorder="1" applyFont="1">
      <alignment readingOrder="0" vertical="center"/>
    </xf>
    <xf borderId="11" fillId="0" fontId="2" numFmtId="0" xfId="0" applyAlignment="1" applyBorder="1" applyFont="1">
      <alignment horizontal="center" vertical="center"/>
    </xf>
    <xf borderId="12" fillId="0" fontId="2" numFmtId="0" xfId="0" applyAlignment="1" applyBorder="1" applyFont="1">
      <alignment readingOrder="0" vertical="center"/>
    </xf>
    <xf borderId="31" fillId="0" fontId="2" numFmtId="0" xfId="0" applyAlignment="1" applyBorder="1" applyFont="1">
      <alignment horizontal="center" readingOrder="0" vertical="center"/>
    </xf>
    <xf borderId="11" fillId="0" fontId="2" numFmtId="0" xfId="0" applyAlignment="1" applyBorder="1" applyFont="1">
      <alignment horizontal="center" readingOrder="0" vertical="center"/>
    </xf>
    <xf borderId="23" fillId="0" fontId="9"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46082.0</v>
      </c>
      <c r="G2" s="3"/>
      <c r="H2" s="3"/>
      <c r="I2" s="3"/>
    </row>
    <row r="3" ht="21.0" customHeight="1">
      <c r="A3" s="4" t="str">
        <f>A7</f>
        <v>林一輝</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10:15～18:35</v>
      </c>
      <c r="C5" s="9"/>
      <c r="D5" s="9"/>
      <c r="E5" s="9"/>
      <c r="F5" s="10"/>
      <c r="G5" s="11"/>
      <c r="H5" s="11"/>
      <c r="I5" s="11"/>
    </row>
    <row r="6" ht="22.5" customHeight="1">
      <c r="A6" s="7" t="s">
        <v>4</v>
      </c>
      <c r="B6" s="7" t="s">
        <v>5</v>
      </c>
      <c r="C6" s="7" t="s">
        <v>6</v>
      </c>
      <c r="D6" s="12" t="s">
        <v>7</v>
      </c>
      <c r="E6" s="9"/>
      <c r="F6" s="10"/>
      <c r="G6" s="13"/>
      <c r="H6" s="13"/>
      <c r="I6" s="13"/>
    </row>
    <row r="7" ht="22.5" customHeight="1">
      <c r="A7" s="14" t="s">
        <v>8</v>
      </c>
      <c r="B7" s="15">
        <v>0.4270833333333333</v>
      </c>
      <c r="C7" s="16">
        <v>0.7743055555555556</v>
      </c>
      <c r="D7" s="17"/>
      <c r="E7" s="18"/>
      <c r="F7" s="19"/>
      <c r="G7" s="11"/>
      <c r="H7" s="11"/>
      <c r="I7" s="11"/>
    </row>
    <row r="8" ht="22.5" customHeight="1">
      <c r="A8" s="14"/>
      <c r="B8" s="20"/>
      <c r="C8" s="21"/>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12</v>
      </c>
      <c r="B14" s="34" t="s">
        <v>13</v>
      </c>
      <c r="C14" s="18"/>
      <c r="D14" s="18"/>
      <c r="E14" s="18"/>
      <c r="F14" s="19"/>
      <c r="G14" s="13"/>
      <c r="H14" s="13"/>
      <c r="I14" s="13"/>
    </row>
    <row r="15" ht="22.5" customHeight="1">
      <c r="A15" s="14"/>
      <c r="B15" s="35"/>
      <c r="C15" s="36"/>
      <c r="D15" s="36"/>
      <c r="E15" s="36"/>
      <c r="F15" s="37"/>
      <c r="G15" s="13"/>
      <c r="H15" s="13"/>
      <c r="I15" s="13"/>
    </row>
    <row r="16" ht="22.5" customHeight="1">
      <c r="A16" s="14"/>
      <c r="B16" s="38"/>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17</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27</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32</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46083.0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08:20～18:00</v>
      </c>
      <c r="C5" s="9"/>
      <c r="D5" s="9"/>
      <c r="E5" s="9"/>
      <c r="F5" s="10"/>
      <c r="G5" s="11"/>
      <c r="H5" s="11"/>
      <c r="I5" s="11"/>
    </row>
    <row r="6" ht="22.5" customHeight="1">
      <c r="A6" s="7" t="s">
        <v>4</v>
      </c>
      <c r="B6" s="7" t="s">
        <v>5</v>
      </c>
      <c r="C6" s="7" t="s">
        <v>6</v>
      </c>
      <c r="D6" s="12" t="s">
        <v>7</v>
      </c>
      <c r="E6" s="9"/>
      <c r="F6" s="10"/>
      <c r="G6" s="13"/>
      <c r="H6" s="13"/>
      <c r="I6" s="13"/>
    </row>
    <row r="7" ht="22.5" customHeight="1">
      <c r="A7" s="33" t="s">
        <v>34</v>
      </c>
      <c r="B7" s="15">
        <v>0.3472222222222222</v>
      </c>
      <c r="C7" s="16">
        <v>0.75</v>
      </c>
      <c r="D7" s="17"/>
      <c r="E7" s="18"/>
      <c r="F7" s="19"/>
      <c r="G7" s="11"/>
      <c r="H7" s="11"/>
      <c r="I7" s="11"/>
    </row>
    <row r="8" ht="22.5" customHeight="1">
      <c r="A8" s="14"/>
      <c r="B8" s="20"/>
      <c r="C8" s="21"/>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35</v>
      </c>
      <c r="B14" s="34" t="s">
        <v>36</v>
      </c>
      <c r="C14" s="18"/>
      <c r="D14" s="18"/>
      <c r="E14" s="18"/>
      <c r="F14" s="19"/>
      <c r="G14" s="13"/>
      <c r="H14" s="13"/>
      <c r="I14" s="13"/>
    </row>
    <row r="15" ht="22.5" customHeight="1">
      <c r="A15" s="33" t="s">
        <v>37</v>
      </c>
      <c r="B15" s="62" t="s">
        <v>38</v>
      </c>
      <c r="C15" s="36"/>
      <c r="D15" s="36"/>
      <c r="E15" s="36"/>
      <c r="F15" s="37"/>
      <c r="G15" s="13"/>
      <c r="H15" s="13"/>
      <c r="I15" s="13"/>
    </row>
    <row r="16" ht="22.5" customHeight="1">
      <c r="A16" s="33" t="s">
        <v>39</v>
      </c>
      <c r="B16" s="63" t="s">
        <v>40</v>
      </c>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41</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42</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43</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46084.0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07:20～21:30</v>
      </c>
      <c r="C5" s="9"/>
      <c r="D5" s="9"/>
      <c r="E5" s="9"/>
      <c r="F5" s="10"/>
      <c r="G5" s="11"/>
      <c r="H5" s="11"/>
      <c r="I5" s="11"/>
    </row>
    <row r="6" ht="22.5" customHeight="1">
      <c r="A6" s="7" t="s">
        <v>4</v>
      </c>
      <c r="B6" s="7" t="s">
        <v>5</v>
      </c>
      <c r="C6" s="7" t="s">
        <v>6</v>
      </c>
      <c r="D6" s="12" t="s">
        <v>7</v>
      </c>
      <c r="E6" s="9"/>
      <c r="F6" s="10"/>
      <c r="G6" s="13"/>
      <c r="H6" s="13"/>
      <c r="I6" s="13"/>
    </row>
    <row r="7" ht="22.5" customHeight="1">
      <c r="A7" s="33" t="s">
        <v>34</v>
      </c>
      <c r="B7" s="15">
        <v>0.3055555555555556</v>
      </c>
      <c r="C7" s="16">
        <v>0.8958333333333334</v>
      </c>
      <c r="D7" s="17"/>
      <c r="E7" s="18"/>
      <c r="F7" s="19"/>
      <c r="G7" s="11"/>
      <c r="H7" s="11"/>
      <c r="I7" s="11"/>
    </row>
    <row r="8" ht="22.5" customHeight="1">
      <c r="A8" s="14"/>
      <c r="B8" s="20"/>
      <c r="C8" s="21"/>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44</v>
      </c>
      <c r="B14" s="34" t="s">
        <v>45</v>
      </c>
      <c r="C14" s="18"/>
      <c r="D14" s="18"/>
      <c r="E14" s="18"/>
      <c r="F14" s="19"/>
      <c r="G14" s="13"/>
      <c r="H14" s="13"/>
      <c r="I14" s="13"/>
    </row>
    <row r="15" ht="22.5" customHeight="1">
      <c r="A15" s="33" t="s">
        <v>46</v>
      </c>
      <c r="B15" s="62" t="s">
        <v>47</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48</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49</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50</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46085.0</v>
      </c>
      <c r="G2" s="3"/>
      <c r="H2" s="3"/>
      <c r="I2" s="3"/>
    </row>
    <row r="3" ht="21.0" customHeight="1">
      <c r="A3" s="4" t="str">
        <f>A7</f>
        <v>榎戸彩珠</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08:35～17:10</v>
      </c>
      <c r="C5" s="9"/>
      <c r="D5" s="9"/>
      <c r="E5" s="9"/>
      <c r="F5" s="10"/>
      <c r="G5" s="11"/>
      <c r="H5" s="11"/>
      <c r="I5" s="11"/>
    </row>
    <row r="6" ht="22.5" customHeight="1">
      <c r="A6" s="7" t="s">
        <v>4</v>
      </c>
      <c r="B6" s="7" t="s">
        <v>5</v>
      </c>
      <c r="C6" s="7" t="s">
        <v>6</v>
      </c>
      <c r="D6" s="12" t="s">
        <v>7</v>
      </c>
      <c r="E6" s="9"/>
      <c r="F6" s="10"/>
      <c r="G6" s="13"/>
      <c r="H6" s="13"/>
      <c r="I6" s="13"/>
    </row>
    <row r="7" ht="22.5" customHeight="1">
      <c r="A7" s="33" t="s">
        <v>51</v>
      </c>
      <c r="B7" s="15">
        <v>0.3576388888888889</v>
      </c>
      <c r="C7" s="16">
        <v>0.7152777777777778</v>
      </c>
      <c r="D7" s="17"/>
      <c r="E7" s="18"/>
      <c r="F7" s="19"/>
      <c r="G7" s="11"/>
      <c r="H7" s="11"/>
      <c r="I7" s="11"/>
    </row>
    <row r="8" ht="22.5" customHeight="1">
      <c r="A8" s="14"/>
      <c r="B8" s="20"/>
      <c r="C8" s="21"/>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52</v>
      </c>
      <c r="B14" s="34" t="s">
        <v>53</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54</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55</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56</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46086.0</v>
      </c>
      <c r="G2" s="3"/>
      <c r="H2" s="3"/>
      <c r="I2" s="3"/>
    </row>
    <row r="3" ht="21.0" customHeight="1">
      <c r="A3" s="4" t="str">
        <f>A7</f>
        <v>榎戸彩珠</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08:30～17:45</v>
      </c>
      <c r="C5" s="9"/>
      <c r="D5" s="9"/>
      <c r="E5" s="9"/>
      <c r="F5" s="10"/>
      <c r="G5" s="11"/>
      <c r="H5" s="11"/>
      <c r="I5" s="11"/>
    </row>
    <row r="6" ht="22.5" customHeight="1">
      <c r="A6" s="7" t="s">
        <v>4</v>
      </c>
      <c r="B6" s="7" t="s">
        <v>5</v>
      </c>
      <c r="C6" s="7" t="s">
        <v>6</v>
      </c>
      <c r="D6" s="12" t="s">
        <v>7</v>
      </c>
      <c r="E6" s="9"/>
      <c r="F6" s="10"/>
      <c r="G6" s="13"/>
      <c r="H6" s="13"/>
      <c r="I6" s="13"/>
    </row>
    <row r="7" ht="22.5" customHeight="1">
      <c r="A7" s="33" t="s">
        <v>51</v>
      </c>
      <c r="B7" s="15">
        <v>0.3541666666666667</v>
      </c>
      <c r="C7" s="16">
        <v>0.7395833333333334</v>
      </c>
      <c r="D7" s="17"/>
      <c r="E7" s="18"/>
      <c r="F7" s="19"/>
      <c r="G7" s="11"/>
      <c r="H7" s="11"/>
      <c r="I7" s="11"/>
    </row>
    <row r="8" ht="22.5" customHeight="1">
      <c r="A8" s="33" t="s">
        <v>57</v>
      </c>
      <c r="B8" s="64">
        <v>0.3541666666666667</v>
      </c>
      <c r="C8" s="16">
        <v>0.7395833333333334</v>
      </c>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52</v>
      </c>
      <c r="B14" s="34" t="s">
        <v>53</v>
      </c>
      <c r="C14" s="18"/>
      <c r="D14" s="18"/>
      <c r="E14" s="18"/>
      <c r="F14" s="19"/>
      <c r="G14" s="13"/>
      <c r="H14" s="13"/>
      <c r="I14" s="13"/>
    </row>
    <row r="15" ht="22.5" customHeight="1">
      <c r="A15" s="33" t="s">
        <v>58</v>
      </c>
      <c r="B15" s="62" t="s">
        <v>59</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60</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61</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56</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46087.0</v>
      </c>
      <c r="G2" s="3"/>
      <c r="H2" s="3"/>
      <c r="I2" s="3"/>
    </row>
    <row r="3" ht="21.0" customHeight="1">
      <c r="A3" s="4" t="str">
        <f>A7</f>
        <v>榎戸彩珠</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08:35～21:25</v>
      </c>
      <c r="C5" s="9"/>
      <c r="D5" s="9"/>
      <c r="E5" s="9"/>
      <c r="F5" s="10"/>
      <c r="G5" s="11"/>
      <c r="H5" s="11"/>
      <c r="I5" s="11"/>
    </row>
    <row r="6" ht="22.5" customHeight="1">
      <c r="A6" s="7" t="s">
        <v>4</v>
      </c>
      <c r="B6" s="7" t="s">
        <v>5</v>
      </c>
      <c r="C6" s="7" t="s">
        <v>6</v>
      </c>
      <c r="D6" s="12" t="s">
        <v>7</v>
      </c>
      <c r="E6" s="9"/>
      <c r="F6" s="10"/>
      <c r="G6" s="13"/>
      <c r="H6" s="13"/>
      <c r="I6" s="13"/>
    </row>
    <row r="7" ht="22.5" customHeight="1">
      <c r="A7" s="33" t="s">
        <v>51</v>
      </c>
      <c r="B7" s="15">
        <v>0.3576388888888889</v>
      </c>
      <c r="C7" s="16">
        <v>0.8923611111111112</v>
      </c>
      <c r="D7" s="17"/>
      <c r="E7" s="18"/>
      <c r="F7" s="19"/>
      <c r="G7" s="11"/>
      <c r="H7" s="11"/>
      <c r="I7" s="11"/>
    </row>
    <row r="8" ht="22.5" customHeight="1">
      <c r="A8" s="33"/>
      <c r="B8" s="64"/>
      <c r="C8" s="16"/>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52</v>
      </c>
      <c r="B14" s="34" t="s">
        <v>53</v>
      </c>
      <c r="C14" s="18"/>
      <c r="D14" s="18"/>
      <c r="E14" s="18"/>
      <c r="F14" s="19"/>
      <c r="G14" s="13"/>
      <c r="H14" s="13"/>
      <c r="I14" s="13"/>
    </row>
    <row r="15" ht="22.5" customHeight="1">
      <c r="A15" s="33" t="s">
        <v>62</v>
      </c>
      <c r="B15" s="62" t="s">
        <v>63</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60</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64</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65</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46088.0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08:30～17:15</v>
      </c>
      <c r="C5" s="9"/>
      <c r="D5" s="9"/>
      <c r="E5" s="9"/>
      <c r="F5" s="10"/>
      <c r="G5" s="11"/>
      <c r="H5" s="11"/>
      <c r="I5" s="11"/>
    </row>
    <row r="6" ht="22.5" customHeight="1">
      <c r="A6" s="7" t="s">
        <v>4</v>
      </c>
      <c r="B6" s="7" t="s">
        <v>5</v>
      </c>
      <c r="C6" s="7" t="s">
        <v>6</v>
      </c>
      <c r="D6" s="12" t="s">
        <v>7</v>
      </c>
      <c r="E6" s="9"/>
      <c r="F6" s="10"/>
      <c r="G6" s="13"/>
      <c r="H6" s="13"/>
      <c r="I6" s="13"/>
    </row>
    <row r="7" ht="22.5" customHeight="1">
      <c r="A7" s="33" t="s">
        <v>57</v>
      </c>
      <c r="B7" s="15">
        <v>0.3541666666666667</v>
      </c>
      <c r="C7" s="16">
        <v>0.71875</v>
      </c>
      <c r="D7" s="17"/>
      <c r="E7" s="18"/>
      <c r="F7" s="19"/>
      <c r="G7" s="11"/>
      <c r="H7" s="11"/>
      <c r="I7" s="11"/>
    </row>
    <row r="8" ht="22.5" customHeight="1">
      <c r="A8" s="33" t="s">
        <v>66</v>
      </c>
      <c r="B8" s="64">
        <v>0.3541666666666667</v>
      </c>
      <c r="C8" s="16">
        <v>0.71875</v>
      </c>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67</v>
      </c>
      <c r="B14" s="34" t="s">
        <v>68</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69</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70</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71</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46089.0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10:30～21:05</v>
      </c>
      <c r="C5" s="9"/>
      <c r="D5" s="9"/>
      <c r="E5" s="9"/>
      <c r="F5" s="10"/>
      <c r="G5" s="11"/>
      <c r="H5" s="11"/>
      <c r="I5" s="11"/>
    </row>
    <row r="6" ht="22.5" customHeight="1">
      <c r="A6" s="7" t="s">
        <v>4</v>
      </c>
      <c r="B6" s="7" t="s">
        <v>5</v>
      </c>
      <c r="C6" s="7" t="s">
        <v>6</v>
      </c>
      <c r="D6" s="12" t="s">
        <v>7</v>
      </c>
      <c r="E6" s="9"/>
      <c r="F6" s="10"/>
      <c r="G6" s="13"/>
      <c r="H6" s="13"/>
      <c r="I6" s="13"/>
    </row>
    <row r="7" ht="22.5" customHeight="1">
      <c r="A7" s="33" t="s">
        <v>57</v>
      </c>
      <c r="B7" s="65">
        <v>0.4375</v>
      </c>
      <c r="C7" s="16">
        <v>0.8784722222222222</v>
      </c>
      <c r="D7" s="17"/>
      <c r="E7" s="18"/>
      <c r="F7" s="19"/>
      <c r="G7" s="11"/>
      <c r="H7" s="11"/>
      <c r="I7" s="11"/>
    </row>
    <row r="8" ht="22.5" customHeight="1">
      <c r="A8" s="33" t="s">
        <v>72</v>
      </c>
      <c r="B8" s="66">
        <v>0.4375</v>
      </c>
      <c r="C8" s="16">
        <v>0.8784722222222222</v>
      </c>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73</v>
      </c>
      <c r="B14" s="34" t="s">
        <v>74</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75</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76</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77</v>
      </c>
      <c r="B39" s="44"/>
      <c r="C39" s="44"/>
      <c r="D39" s="59" t="s">
        <v>33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46090.0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08:45～21:00</v>
      </c>
      <c r="C5" s="9"/>
      <c r="D5" s="9"/>
      <c r="E5" s="9"/>
      <c r="F5" s="10"/>
      <c r="G5" s="11"/>
      <c r="H5" s="11"/>
      <c r="I5" s="11"/>
    </row>
    <row r="6" ht="22.5" customHeight="1">
      <c r="A6" s="7" t="s">
        <v>4</v>
      </c>
      <c r="B6" s="7" t="s">
        <v>5</v>
      </c>
      <c r="C6" s="7" t="s">
        <v>6</v>
      </c>
      <c r="D6" s="12" t="s">
        <v>7</v>
      </c>
      <c r="E6" s="9"/>
      <c r="F6" s="10"/>
      <c r="G6" s="13"/>
      <c r="H6" s="13"/>
      <c r="I6" s="13"/>
    </row>
    <row r="7" ht="22.5" customHeight="1">
      <c r="A7" s="33" t="s">
        <v>57</v>
      </c>
      <c r="B7" s="15">
        <v>0.3645833333333333</v>
      </c>
      <c r="C7" s="16">
        <v>0.875</v>
      </c>
      <c r="D7" s="17"/>
      <c r="E7" s="18"/>
      <c r="F7" s="19"/>
      <c r="G7" s="11"/>
      <c r="H7" s="11"/>
      <c r="I7" s="11"/>
    </row>
    <row r="8" ht="22.5" customHeight="1">
      <c r="A8" s="14" t="s">
        <v>8</v>
      </c>
      <c r="B8" s="64">
        <v>0.3645833333333333</v>
      </c>
      <c r="C8" s="16">
        <v>0.875</v>
      </c>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78</v>
      </c>
      <c r="B14" s="34" t="s">
        <v>79</v>
      </c>
      <c r="C14" s="18"/>
      <c r="D14" s="18"/>
      <c r="E14" s="18"/>
      <c r="F14" s="19"/>
      <c r="G14" s="13"/>
      <c r="H14" s="13"/>
      <c r="I14" s="13"/>
    </row>
    <row r="15" ht="22.5" customHeight="1">
      <c r="A15" s="33" t="s">
        <v>80</v>
      </c>
      <c r="B15" s="62" t="s">
        <v>81</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82</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83</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84</v>
      </c>
      <c r="B39" s="44"/>
      <c r="C39" s="44"/>
      <c r="D39" s="67" t="s">
        <v>85</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46091.0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08:20～21:30</v>
      </c>
      <c r="C5" s="9"/>
      <c r="D5" s="9"/>
      <c r="E5" s="9"/>
      <c r="F5" s="10"/>
      <c r="G5" s="11"/>
      <c r="H5" s="11"/>
      <c r="I5" s="11"/>
    </row>
    <row r="6" ht="22.5" customHeight="1">
      <c r="A6" s="7" t="s">
        <v>4</v>
      </c>
      <c r="B6" s="7" t="s">
        <v>5</v>
      </c>
      <c r="C6" s="7" t="s">
        <v>6</v>
      </c>
      <c r="D6" s="12" t="s">
        <v>7</v>
      </c>
      <c r="E6" s="9"/>
      <c r="F6" s="10"/>
      <c r="G6" s="13"/>
      <c r="H6" s="13"/>
      <c r="I6" s="13"/>
    </row>
    <row r="7" ht="22.5" customHeight="1">
      <c r="A7" s="33" t="s">
        <v>34</v>
      </c>
      <c r="B7" s="15">
        <v>0.3472222222222222</v>
      </c>
      <c r="C7" s="16">
        <v>0.8958333333333334</v>
      </c>
      <c r="D7" s="17"/>
      <c r="E7" s="18"/>
      <c r="F7" s="19"/>
      <c r="G7" s="11"/>
      <c r="H7" s="11"/>
      <c r="I7" s="11"/>
    </row>
    <row r="8" ht="22.5" customHeight="1">
      <c r="A8" s="14"/>
      <c r="B8" s="64"/>
      <c r="C8" s="16"/>
      <c r="D8" s="22"/>
      <c r="E8" s="23"/>
      <c r="F8" s="24"/>
      <c r="G8" s="11"/>
      <c r="H8" s="11"/>
      <c r="I8" s="11"/>
    </row>
    <row r="9" ht="22.5" customHeight="1">
      <c r="A9" s="14"/>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86</v>
      </c>
      <c r="B14" s="34" t="s">
        <v>87</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88</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89</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90</v>
      </c>
      <c r="B39" s="44"/>
      <c r="C39" s="44"/>
      <c r="D39" s="67" t="s">
        <v>85</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46092.0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08:35～20:55</v>
      </c>
      <c r="C5" s="9"/>
      <c r="D5" s="9"/>
      <c r="E5" s="9"/>
      <c r="F5" s="10"/>
      <c r="G5" s="11"/>
      <c r="H5" s="11"/>
      <c r="I5" s="11"/>
    </row>
    <row r="6" ht="22.5" customHeight="1">
      <c r="A6" s="7" t="s">
        <v>4</v>
      </c>
      <c r="B6" s="7" t="s">
        <v>5</v>
      </c>
      <c r="C6" s="7" t="s">
        <v>6</v>
      </c>
      <c r="D6" s="12" t="s">
        <v>7</v>
      </c>
      <c r="E6" s="9"/>
      <c r="F6" s="10"/>
      <c r="G6" s="13"/>
      <c r="H6" s="13"/>
      <c r="I6" s="13"/>
    </row>
    <row r="7" ht="22.5" customHeight="1">
      <c r="A7" s="33" t="s">
        <v>57</v>
      </c>
      <c r="B7" s="15">
        <v>0.3576388888888889</v>
      </c>
      <c r="C7" s="16">
        <v>0.8715277777777778</v>
      </c>
      <c r="D7" s="17"/>
      <c r="E7" s="18"/>
      <c r="F7" s="19"/>
      <c r="G7" s="11"/>
      <c r="H7" s="11"/>
      <c r="I7" s="11"/>
    </row>
    <row r="8" ht="22.5" customHeight="1">
      <c r="A8" s="33" t="s">
        <v>51</v>
      </c>
      <c r="B8" s="68" t="s">
        <v>91</v>
      </c>
      <c r="C8" s="16">
        <v>0.8715277777777778</v>
      </c>
      <c r="D8" s="2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92</v>
      </c>
      <c r="B14" s="34" t="s">
        <v>93</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94</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95</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96</v>
      </c>
      <c r="B39" s="44"/>
      <c r="C39" s="44"/>
      <c r="D39" s="67" t="s">
        <v>85</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46093.0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08:20～17:35</v>
      </c>
      <c r="C5" s="9"/>
      <c r="D5" s="9"/>
      <c r="E5" s="9"/>
      <c r="F5" s="10"/>
      <c r="G5" s="11"/>
      <c r="H5" s="11"/>
      <c r="I5" s="11"/>
    </row>
    <row r="6" ht="22.5" customHeight="1">
      <c r="A6" s="7" t="s">
        <v>4</v>
      </c>
      <c r="B6" s="7" t="s">
        <v>5</v>
      </c>
      <c r="C6" s="7" t="s">
        <v>6</v>
      </c>
      <c r="D6" s="12" t="s">
        <v>7</v>
      </c>
      <c r="E6" s="9"/>
      <c r="F6" s="10"/>
      <c r="G6" s="13"/>
      <c r="H6" s="13"/>
      <c r="I6" s="13"/>
    </row>
    <row r="7" ht="22.5" customHeight="1">
      <c r="A7" s="33" t="s">
        <v>34</v>
      </c>
      <c r="B7" s="15">
        <v>0.3472222222222222</v>
      </c>
      <c r="C7" s="16">
        <v>0.7326388888888888</v>
      </c>
      <c r="D7" s="17"/>
      <c r="E7" s="18"/>
      <c r="F7" s="19"/>
      <c r="G7" s="11"/>
      <c r="H7" s="11"/>
      <c r="I7" s="11"/>
    </row>
    <row r="8" ht="22.5" customHeight="1">
      <c r="A8" s="33"/>
      <c r="B8" s="68"/>
      <c r="C8" s="16"/>
      <c r="D8" s="2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97</v>
      </c>
      <c r="B14" s="34" t="s">
        <v>98</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99</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100</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101</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46093.0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08:20～17:45</v>
      </c>
      <c r="C5" s="9"/>
      <c r="D5" s="9"/>
      <c r="E5" s="9"/>
      <c r="F5" s="10"/>
      <c r="G5" s="11"/>
      <c r="H5" s="11"/>
      <c r="I5" s="11"/>
    </row>
    <row r="6" ht="22.5" customHeight="1">
      <c r="A6" s="7" t="s">
        <v>4</v>
      </c>
      <c r="B6" s="7" t="s">
        <v>5</v>
      </c>
      <c r="C6" s="7" t="s">
        <v>6</v>
      </c>
      <c r="D6" s="12" t="s">
        <v>7</v>
      </c>
      <c r="E6" s="9"/>
      <c r="F6" s="10"/>
      <c r="G6" s="13"/>
      <c r="H6" s="13"/>
      <c r="I6" s="13"/>
    </row>
    <row r="7" ht="22.5" customHeight="1">
      <c r="A7" s="33" t="s">
        <v>34</v>
      </c>
      <c r="B7" s="15">
        <v>0.3472222222222222</v>
      </c>
      <c r="C7" s="16">
        <v>0.7395833333333334</v>
      </c>
      <c r="D7" s="17"/>
      <c r="E7" s="18"/>
      <c r="F7" s="19"/>
      <c r="G7" s="11"/>
      <c r="H7" s="11"/>
      <c r="I7" s="11"/>
    </row>
    <row r="8" ht="22.5" customHeight="1">
      <c r="A8" s="33"/>
      <c r="B8" s="68"/>
      <c r="C8" s="16"/>
      <c r="D8" s="2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97</v>
      </c>
      <c r="B14" s="34" t="s">
        <v>103</v>
      </c>
      <c r="C14" s="18"/>
      <c r="D14" s="18"/>
      <c r="E14" s="18"/>
      <c r="F14" s="19"/>
      <c r="G14" s="13"/>
      <c r="H14" s="13"/>
      <c r="I14" s="13"/>
    </row>
    <row r="15" ht="22.5" customHeight="1">
      <c r="A15" s="33" t="s">
        <v>104</v>
      </c>
      <c r="B15" s="62" t="s">
        <v>105</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99</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106</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101</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46095.0</v>
      </c>
      <c r="G2" s="3"/>
      <c r="H2" s="3"/>
      <c r="I2" s="3"/>
    </row>
    <row r="3" ht="21.0" customHeight="1">
      <c r="A3" s="4" t="str">
        <f>A7</f>
        <v>榎戸彩珠</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08:35～21:25</v>
      </c>
      <c r="C5" s="9"/>
      <c r="D5" s="9"/>
      <c r="E5" s="9"/>
      <c r="F5" s="10"/>
      <c r="G5" s="11"/>
      <c r="H5" s="11"/>
      <c r="I5" s="11"/>
    </row>
    <row r="6" ht="22.5" customHeight="1">
      <c r="A6" s="7" t="s">
        <v>4</v>
      </c>
      <c r="B6" s="7" t="s">
        <v>5</v>
      </c>
      <c r="C6" s="7" t="s">
        <v>6</v>
      </c>
      <c r="D6" s="12" t="s">
        <v>7</v>
      </c>
      <c r="E6" s="9"/>
      <c r="F6" s="10"/>
      <c r="G6" s="13"/>
      <c r="H6" s="13"/>
      <c r="I6" s="13"/>
    </row>
    <row r="7" ht="22.5" customHeight="1">
      <c r="A7" s="33" t="s">
        <v>51</v>
      </c>
      <c r="B7" s="15">
        <v>0.3576388888888889</v>
      </c>
      <c r="C7" s="16">
        <v>0.8923611111111112</v>
      </c>
      <c r="D7" s="17"/>
      <c r="E7" s="18"/>
      <c r="F7" s="19"/>
      <c r="G7" s="11"/>
      <c r="H7" s="11"/>
      <c r="I7" s="11"/>
    </row>
    <row r="8" ht="22.5" customHeight="1">
      <c r="A8" s="33"/>
      <c r="B8" s="68"/>
      <c r="C8" s="16"/>
      <c r="D8" s="2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107</v>
      </c>
      <c r="B14" s="34" t="s">
        <v>108</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109</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110</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111</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46097.0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10:00～12:10</v>
      </c>
      <c r="C5" s="9"/>
      <c r="D5" s="9"/>
      <c r="E5" s="9"/>
      <c r="F5" s="10"/>
      <c r="G5" s="11"/>
      <c r="H5" s="11"/>
      <c r="I5" s="11"/>
    </row>
    <row r="6" ht="22.5" customHeight="1">
      <c r="A6" s="7" t="s">
        <v>4</v>
      </c>
      <c r="B6" s="7" t="s">
        <v>5</v>
      </c>
      <c r="C6" s="7" t="s">
        <v>6</v>
      </c>
      <c r="D6" s="12" t="s">
        <v>7</v>
      </c>
      <c r="E6" s="9"/>
      <c r="F6" s="10"/>
      <c r="G6" s="13"/>
      <c r="H6" s="13"/>
      <c r="I6" s="13"/>
    </row>
    <row r="7" ht="22.5" customHeight="1">
      <c r="A7" s="69" t="s">
        <v>57</v>
      </c>
      <c r="B7" s="15">
        <v>0.4166666666666667</v>
      </c>
      <c r="C7" s="16">
        <v>0.5069444444444444</v>
      </c>
      <c r="D7" s="70" t="s">
        <v>112</v>
      </c>
      <c r="E7" s="18"/>
      <c r="F7" s="19"/>
      <c r="G7" s="11"/>
      <c r="H7" s="11"/>
      <c r="I7" s="11"/>
    </row>
    <row r="8" ht="22.5" customHeight="1">
      <c r="A8" s="71" t="s">
        <v>113</v>
      </c>
      <c r="B8" s="64">
        <v>0.4166666666666667</v>
      </c>
      <c r="C8" s="16">
        <v>0.5069444444444444</v>
      </c>
      <c r="D8" s="72" t="s">
        <v>112</v>
      </c>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114</v>
      </c>
      <c r="B14" s="34" t="s">
        <v>115</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116</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117</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118</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46098.0</v>
      </c>
      <c r="G2" s="3"/>
      <c r="H2" s="3"/>
      <c r="I2" s="3"/>
    </row>
    <row r="3" ht="21.0" customHeight="1">
      <c r="A3" s="4" t="str">
        <f>A7</f>
        <v>榎戸彩珠</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08:35～13:25</v>
      </c>
      <c r="C5" s="9"/>
      <c r="D5" s="9"/>
      <c r="E5" s="9"/>
      <c r="F5" s="10"/>
      <c r="G5" s="11"/>
      <c r="H5" s="11"/>
      <c r="I5" s="11"/>
    </row>
    <row r="6" ht="22.5" customHeight="1">
      <c r="A6" s="7" t="s">
        <v>4</v>
      </c>
      <c r="B6" s="7" t="s">
        <v>5</v>
      </c>
      <c r="C6" s="7" t="s">
        <v>6</v>
      </c>
      <c r="D6" s="12" t="s">
        <v>7</v>
      </c>
      <c r="E6" s="9"/>
      <c r="F6" s="10"/>
      <c r="G6" s="13"/>
      <c r="H6" s="13"/>
      <c r="I6" s="13"/>
    </row>
    <row r="7" ht="22.5" customHeight="1">
      <c r="A7" s="73" t="s">
        <v>51</v>
      </c>
      <c r="B7" s="15">
        <v>0.3576388888888889</v>
      </c>
      <c r="C7" s="16">
        <v>0.5590277777773736</v>
      </c>
      <c r="D7" s="70"/>
      <c r="E7" s="18"/>
      <c r="F7" s="19"/>
      <c r="G7" s="11"/>
      <c r="H7" s="11"/>
      <c r="I7" s="11"/>
    </row>
    <row r="8" ht="22.5" customHeight="1">
      <c r="A8" s="71"/>
      <c r="B8" s="64"/>
      <c r="C8" s="16"/>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46</v>
      </c>
      <c r="B14" s="34" t="s">
        <v>119</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116</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120</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121</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46099.0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08:20～17:30</v>
      </c>
      <c r="C5" s="9"/>
      <c r="D5" s="9"/>
      <c r="E5" s="9"/>
      <c r="F5" s="10"/>
      <c r="G5" s="11"/>
      <c r="H5" s="11"/>
      <c r="I5" s="11"/>
    </row>
    <row r="6" ht="22.5" customHeight="1">
      <c r="A6" s="7" t="s">
        <v>4</v>
      </c>
      <c r="B6" s="7" t="s">
        <v>5</v>
      </c>
      <c r="C6" s="7" t="s">
        <v>6</v>
      </c>
      <c r="D6" s="12" t="s">
        <v>7</v>
      </c>
      <c r="E6" s="9"/>
      <c r="F6" s="10"/>
      <c r="G6" s="13"/>
      <c r="H6" s="13"/>
      <c r="I6" s="13"/>
    </row>
    <row r="7" ht="22.5" customHeight="1">
      <c r="A7" s="73" t="s">
        <v>34</v>
      </c>
      <c r="B7" s="15">
        <v>0.3472222222222222</v>
      </c>
      <c r="C7" s="16">
        <v>0.7291666666666666</v>
      </c>
      <c r="D7" s="70"/>
      <c r="E7" s="18"/>
      <c r="F7" s="19"/>
      <c r="G7" s="11"/>
      <c r="H7" s="11"/>
      <c r="I7" s="11"/>
    </row>
    <row r="8" ht="22.5" customHeight="1">
      <c r="A8" s="71"/>
      <c r="B8" s="64"/>
      <c r="C8" s="16"/>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122</v>
      </c>
      <c r="B14" s="34" t="s">
        <v>123</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124</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125</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126</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46100.0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08:20～20:50</v>
      </c>
      <c r="C5" s="9"/>
      <c r="D5" s="9"/>
      <c r="E5" s="9"/>
      <c r="F5" s="10"/>
      <c r="G5" s="11"/>
      <c r="H5" s="11"/>
      <c r="I5" s="11"/>
    </row>
    <row r="6" ht="22.5" customHeight="1">
      <c r="A6" s="7" t="s">
        <v>4</v>
      </c>
      <c r="B6" s="7" t="s">
        <v>5</v>
      </c>
      <c r="C6" s="7" t="s">
        <v>6</v>
      </c>
      <c r="D6" s="12" t="s">
        <v>7</v>
      </c>
      <c r="E6" s="9"/>
      <c r="F6" s="10"/>
      <c r="G6" s="13"/>
      <c r="H6" s="13"/>
      <c r="I6" s="13"/>
    </row>
    <row r="7" ht="22.5" customHeight="1">
      <c r="A7" s="73" t="s">
        <v>57</v>
      </c>
      <c r="B7" s="15">
        <v>0.3472222222222222</v>
      </c>
      <c r="C7" s="16">
        <v>0.8680555555555556</v>
      </c>
      <c r="D7" s="70"/>
      <c r="E7" s="18"/>
      <c r="F7" s="19"/>
      <c r="G7" s="11"/>
      <c r="H7" s="11"/>
      <c r="I7" s="11"/>
    </row>
    <row r="8" ht="22.5" customHeight="1">
      <c r="A8" s="74" t="s">
        <v>34</v>
      </c>
      <c r="B8" s="64">
        <v>0.3472222222222222</v>
      </c>
      <c r="C8" s="16">
        <v>0.8680555555555556</v>
      </c>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127</v>
      </c>
      <c r="B14" s="34" t="s">
        <v>128</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129</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130</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131</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46101.0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08:20～19:50</v>
      </c>
      <c r="C5" s="9"/>
      <c r="D5" s="9"/>
      <c r="E5" s="9"/>
      <c r="F5" s="10"/>
      <c r="G5" s="11"/>
      <c r="H5" s="11"/>
      <c r="I5" s="11"/>
    </row>
    <row r="6" ht="22.5" customHeight="1">
      <c r="A6" s="7" t="s">
        <v>4</v>
      </c>
      <c r="B6" s="7" t="s">
        <v>5</v>
      </c>
      <c r="C6" s="7" t="s">
        <v>6</v>
      </c>
      <c r="D6" s="12" t="s">
        <v>7</v>
      </c>
      <c r="E6" s="9"/>
      <c r="F6" s="10"/>
      <c r="G6" s="13"/>
      <c r="H6" s="13"/>
      <c r="I6" s="13"/>
    </row>
    <row r="7" ht="22.5" customHeight="1">
      <c r="A7" s="73" t="s">
        <v>57</v>
      </c>
      <c r="B7" s="15">
        <v>0.3472222222222222</v>
      </c>
      <c r="C7" s="16">
        <v>0.8263888888888888</v>
      </c>
      <c r="D7" s="70"/>
      <c r="E7" s="18"/>
      <c r="F7" s="19"/>
      <c r="G7" s="11"/>
      <c r="H7" s="11"/>
      <c r="I7" s="11"/>
    </row>
    <row r="8" ht="22.5" customHeight="1">
      <c r="A8" s="74" t="s">
        <v>34</v>
      </c>
      <c r="B8" s="64">
        <v>0.3472222222222222</v>
      </c>
      <c r="C8" s="16">
        <v>0.8263888888888888</v>
      </c>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127</v>
      </c>
      <c r="B14" s="34" t="s">
        <v>132</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133</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134</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135</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46102.0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08:30～20:30</v>
      </c>
      <c r="C5" s="9"/>
      <c r="D5" s="9"/>
      <c r="E5" s="9"/>
      <c r="F5" s="10"/>
      <c r="G5" s="11"/>
      <c r="H5" s="11"/>
      <c r="I5" s="11"/>
    </row>
    <row r="6" ht="22.5" customHeight="1">
      <c r="A6" s="7" t="s">
        <v>4</v>
      </c>
      <c r="B6" s="7" t="s">
        <v>5</v>
      </c>
      <c r="C6" s="7" t="s">
        <v>6</v>
      </c>
      <c r="D6" s="12" t="s">
        <v>7</v>
      </c>
      <c r="E6" s="9"/>
      <c r="F6" s="10"/>
      <c r="G6" s="13"/>
      <c r="H6" s="13"/>
      <c r="I6" s="13"/>
    </row>
    <row r="7" ht="22.5" customHeight="1">
      <c r="A7" s="73" t="s">
        <v>57</v>
      </c>
      <c r="B7" s="15">
        <v>0.3541666666666667</v>
      </c>
      <c r="C7" s="16">
        <v>0.8541666666666666</v>
      </c>
      <c r="D7" s="70"/>
      <c r="E7" s="18"/>
      <c r="F7" s="19"/>
      <c r="G7" s="11"/>
      <c r="H7" s="11"/>
      <c r="I7" s="11"/>
    </row>
    <row r="8" ht="22.5" customHeight="1">
      <c r="A8" s="74" t="s">
        <v>66</v>
      </c>
      <c r="B8" s="64">
        <v>0.3541666666666667</v>
      </c>
      <c r="C8" s="16">
        <v>0.8472222222222222</v>
      </c>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136</v>
      </c>
      <c r="B14" s="34" t="s">
        <v>137</v>
      </c>
      <c r="C14" s="18"/>
      <c r="D14" s="18"/>
      <c r="E14" s="18"/>
      <c r="F14" s="19"/>
      <c r="G14" s="13"/>
      <c r="H14" s="13"/>
      <c r="I14" s="13"/>
    </row>
    <row r="15" ht="22.5" customHeight="1">
      <c r="A15" s="33" t="s">
        <v>138</v>
      </c>
      <c r="B15" s="62" t="s">
        <v>139</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140</v>
      </c>
      <c r="B23" s="44"/>
      <c r="C23" s="44"/>
      <c r="D23" s="45"/>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141</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58" t="s">
        <v>142</v>
      </c>
      <c r="B39" s="44"/>
      <c r="C39" s="44"/>
      <c r="D39" s="67" t="s">
        <v>102</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46103.0</v>
      </c>
      <c r="G2" s="3"/>
      <c r="H2" s="3"/>
      <c r="I2" s="3"/>
    </row>
    <row r="3" ht="21.0" customHeight="1">
      <c r="A3" s="4" t="str">
        <f>A7</f>
        <v>原田萌愛</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08:00～17:00</v>
      </c>
      <c r="C5" s="9"/>
      <c r="D5" s="9"/>
      <c r="E5" s="9"/>
      <c r="F5" s="10"/>
      <c r="G5" s="11"/>
      <c r="H5" s="11"/>
      <c r="I5" s="11"/>
    </row>
    <row r="6" ht="22.5" customHeight="1">
      <c r="A6" s="7" t="s">
        <v>4</v>
      </c>
      <c r="B6" s="7" t="s">
        <v>5</v>
      </c>
      <c r="C6" s="7" t="s">
        <v>6</v>
      </c>
      <c r="D6" s="12" t="s">
        <v>7</v>
      </c>
      <c r="E6" s="9"/>
      <c r="F6" s="10"/>
      <c r="G6" s="13"/>
      <c r="H6" s="13"/>
      <c r="I6" s="13"/>
    </row>
    <row r="7" ht="22.5" customHeight="1">
      <c r="A7" s="73" t="s">
        <v>57</v>
      </c>
      <c r="B7" s="15">
        <v>0.3333333333333333</v>
      </c>
      <c r="C7" s="16">
        <v>0.7083333333333334</v>
      </c>
      <c r="D7" s="70"/>
      <c r="E7" s="18"/>
      <c r="F7" s="19"/>
      <c r="G7" s="11"/>
      <c r="H7" s="11"/>
      <c r="I7" s="11"/>
    </row>
    <row r="8" ht="22.5" customHeight="1">
      <c r="A8" s="74" t="s">
        <v>66</v>
      </c>
      <c r="B8" s="64">
        <v>0.3333333333333333</v>
      </c>
      <c r="C8" s="16">
        <v>0.7083333333333334</v>
      </c>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143</v>
      </c>
      <c r="B14" s="34" t="s">
        <v>144</v>
      </c>
      <c r="C14" s="18"/>
      <c r="D14" s="18"/>
      <c r="E14" s="18"/>
      <c r="F14" s="19"/>
      <c r="G14" s="13"/>
      <c r="H14" s="13"/>
      <c r="I14" s="13"/>
    </row>
    <row r="15" ht="22.5" customHeight="1">
      <c r="A15" s="33" t="s">
        <v>145</v>
      </c>
      <c r="B15" s="62" t="s">
        <v>146</v>
      </c>
      <c r="C15" s="36"/>
      <c r="D15" s="36"/>
      <c r="E15" s="36"/>
      <c r="F15" s="37"/>
      <c r="G15" s="13"/>
      <c r="H15" s="13"/>
      <c r="I15" s="13"/>
    </row>
    <row r="16" ht="22.5" customHeight="1">
      <c r="A16" s="33" t="s">
        <v>147</v>
      </c>
      <c r="B16" s="63" t="s">
        <v>148</v>
      </c>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149</v>
      </c>
      <c r="B23" s="44"/>
      <c r="C23" s="44"/>
      <c r="D23" s="43" t="s">
        <v>150</v>
      </c>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151</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152</v>
      </c>
      <c r="B39" s="44"/>
      <c r="C39" s="44"/>
      <c r="D39" s="67" t="s">
        <v>153</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46104.0</v>
      </c>
      <c r="G2" s="3"/>
      <c r="H2" s="3"/>
      <c r="I2" s="3"/>
    </row>
    <row r="3" ht="21.0" customHeight="1">
      <c r="A3" s="4" t="str">
        <f>A7</f>
        <v>坂本 渉</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10:40～21:00</v>
      </c>
      <c r="C5" s="9"/>
      <c r="D5" s="9"/>
      <c r="E5" s="9"/>
      <c r="F5" s="10"/>
      <c r="G5" s="11"/>
      <c r="H5" s="11"/>
      <c r="I5" s="11"/>
    </row>
    <row r="6" ht="22.5" customHeight="1">
      <c r="A6" s="7" t="s">
        <v>4</v>
      </c>
      <c r="B6" s="7" t="s">
        <v>5</v>
      </c>
      <c r="C6" s="7" t="s">
        <v>6</v>
      </c>
      <c r="D6" s="12" t="s">
        <v>7</v>
      </c>
      <c r="E6" s="9"/>
      <c r="F6" s="10"/>
      <c r="G6" s="13"/>
      <c r="H6" s="13"/>
      <c r="I6" s="13"/>
    </row>
    <row r="7" ht="22.5" customHeight="1">
      <c r="A7" s="73" t="s">
        <v>113</v>
      </c>
      <c r="B7" s="15">
        <v>0.4444444444444444</v>
      </c>
      <c r="C7" s="16">
        <v>0.875</v>
      </c>
      <c r="D7" s="70"/>
      <c r="E7" s="18"/>
      <c r="F7" s="19"/>
      <c r="G7" s="11"/>
      <c r="H7" s="11"/>
      <c r="I7" s="11"/>
    </row>
    <row r="8" ht="22.5" customHeight="1">
      <c r="A8" s="74" t="s">
        <v>154</v>
      </c>
      <c r="B8" s="64">
        <v>0.4513888888888889</v>
      </c>
      <c r="C8" s="16">
        <v>0.875</v>
      </c>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155</v>
      </c>
      <c r="B14" s="34" t="s">
        <v>156</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157</v>
      </c>
      <c r="B23" s="44"/>
      <c r="C23" s="44"/>
      <c r="D23" s="43"/>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158</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159</v>
      </c>
      <c r="B39" s="44"/>
      <c r="C39" s="44"/>
      <c r="D39" s="67" t="s">
        <v>160</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46105.0</v>
      </c>
      <c r="G2" s="3"/>
      <c r="H2" s="3"/>
      <c r="I2" s="3"/>
    </row>
    <row r="3" ht="21.0" customHeight="1">
      <c r="A3" s="4" t="str">
        <f>A7</f>
        <v>高橋英樹</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08:30～21:00</v>
      </c>
      <c r="C5" s="9"/>
      <c r="D5" s="9"/>
      <c r="E5" s="9"/>
      <c r="F5" s="10"/>
      <c r="G5" s="11"/>
      <c r="H5" s="11"/>
      <c r="I5" s="11"/>
    </row>
    <row r="6" ht="22.5" customHeight="1">
      <c r="A6" s="7" t="s">
        <v>4</v>
      </c>
      <c r="B6" s="7" t="s">
        <v>5</v>
      </c>
      <c r="C6" s="7" t="s">
        <v>6</v>
      </c>
      <c r="D6" s="12" t="s">
        <v>7</v>
      </c>
      <c r="E6" s="9"/>
      <c r="F6" s="10"/>
      <c r="G6" s="13"/>
      <c r="H6" s="13"/>
      <c r="I6" s="13"/>
    </row>
    <row r="7" ht="22.5" customHeight="1">
      <c r="A7" s="73" t="s">
        <v>34</v>
      </c>
      <c r="B7" s="15">
        <v>0.3541666666666667</v>
      </c>
      <c r="C7" s="16">
        <v>0.875</v>
      </c>
      <c r="D7" s="70"/>
      <c r="E7" s="18"/>
      <c r="F7" s="19"/>
      <c r="G7" s="11"/>
      <c r="H7" s="11"/>
      <c r="I7" s="11"/>
    </row>
    <row r="8" ht="22.5" customHeight="1">
      <c r="A8" s="74"/>
      <c r="B8" s="64"/>
      <c r="C8" s="16"/>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161</v>
      </c>
      <c r="B14" s="34" t="s">
        <v>162</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163</v>
      </c>
      <c r="B23" s="44"/>
      <c r="C23" s="44"/>
      <c r="D23" s="43"/>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164</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165</v>
      </c>
      <c r="B39" s="44"/>
      <c r="C39" s="44"/>
      <c r="D39" s="67" t="s">
        <v>160</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46106.0</v>
      </c>
      <c r="G2" s="3"/>
      <c r="H2" s="3"/>
      <c r="I2" s="3"/>
    </row>
    <row r="3" ht="21.0" customHeight="1">
      <c r="A3" s="4" t="str">
        <f>A7</f>
        <v>坂本 渉</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12:30～17:00</v>
      </c>
      <c r="C5" s="9"/>
      <c r="D5" s="9"/>
      <c r="E5" s="9"/>
      <c r="F5" s="10"/>
      <c r="G5" s="11"/>
      <c r="H5" s="11"/>
      <c r="I5" s="11"/>
    </row>
    <row r="6" ht="22.5" customHeight="1">
      <c r="A6" s="7" t="s">
        <v>4</v>
      </c>
      <c r="B6" s="7" t="s">
        <v>5</v>
      </c>
      <c r="C6" s="7" t="s">
        <v>6</v>
      </c>
      <c r="D6" s="12" t="s">
        <v>7</v>
      </c>
      <c r="E6" s="9"/>
      <c r="F6" s="10"/>
      <c r="G6" s="13"/>
      <c r="H6" s="13"/>
      <c r="I6" s="13"/>
    </row>
    <row r="7" ht="22.5" customHeight="1">
      <c r="A7" s="73" t="s">
        <v>113</v>
      </c>
      <c r="B7" s="15">
        <v>0.5208333333333334</v>
      </c>
      <c r="C7" s="16">
        <v>0.7083333333333334</v>
      </c>
      <c r="D7" s="70"/>
      <c r="E7" s="18"/>
      <c r="F7" s="19"/>
      <c r="G7" s="11"/>
      <c r="H7" s="11"/>
      <c r="I7" s="11"/>
    </row>
    <row r="8" ht="22.5" customHeight="1">
      <c r="A8" s="74"/>
      <c r="B8" s="64"/>
      <c r="C8" s="16"/>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166</v>
      </c>
      <c r="B14" s="34" t="s">
        <v>167</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168</v>
      </c>
      <c r="B23" s="44"/>
      <c r="C23" s="44"/>
      <c r="D23" s="43"/>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169</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170</v>
      </c>
      <c r="B39" s="44"/>
      <c r="C39" s="44"/>
      <c r="D39" s="67" t="s">
        <v>160</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46107.0</v>
      </c>
      <c r="G2" s="3"/>
      <c r="H2" s="3"/>
      <c r="I2" s="3"/>
    </row>
    <row r="3" ht="21.0" customHeight="1">
      <c r="A3" s="4" t="str">
        <f>A7</f>
        <v>榎戸彩珠</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08:10～13:40</v>
      </c>
      <c r="C5" s="9"/>
      <c r="D5" s="9"/>
      <c r="E5" s="9"/>
      <c r="F5" s="10"/>
      <c r="G5" s="11"/>
      <c r="H5" s="11"/>
      <c r="I5" s="11"/>
    </row>
    <row r="6" ht="22.5" customHeight="1">
      <c r="A6" s="7" t="s">
        <v>4</v>
      </c>
      <c r="B6" s="7" t="s">
        <v>5</v>
      </c>
      <c r="C6" s="7" t="s">
        <v>6</v>
      </c>
      <c r="D6" s="12" t="s">
        <v>7</v>
      </c>
      <c r="E6" s="9"/>
      <c r="F6" s="10"/>
      <c r="G6" s="13"/>
      <c r="H6" s="13"/>
      <c r="I6" s="13"/>
    </row>
    <row r="7" ht="22.5" customHeight="1">
      <c r="A7" s="73" t="s">
        <v>51</v>
      </c>
      <c r="B7" s="15">
        <v>0.3402777777777778</v>
      </c>
      <c r="C7" s="16">
        <v>0.5694444444444444</v>
      </c>
      <c r="D7" s="70"/>
      <c r="E7" s="18"/>
      <c r="F7" s="19"/>
      <c r="G7" s="11"/>
      <c r="H7" s="11"/>
      <c r="I7" s="11"/>
    </row>
    <row r="8" ht="22.5" customHeight="1">
      <c r="A8" s="74"/>
      <c r="B8" s="64"/>
      <c r="C8" s="16"/>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171</v>
      </c>
      <c r="B14" s="34" t="s">
        <v>172</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173</v>
      </c>
      <c r="B23" s="44"/>
      <c r="C23" s="44"/>
      <c r="D23" s="43"/>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174</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175</v>
      </c>
      <c r="B39" s="44"/>
      <c r="C39" s="44"/>
      <c r="D39" s="67" t="s">
        <v>176</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46108.0</v>
      </c>
      <c r="G2" s="3"/>
      <c r="H2" s="3"/>
      <c r="I2" s="3"/>
    </row>
    <row r="3" ht="21.0" customHeight="1">
      <c r="A3" s="4" t="str">
        <f>A7</f>
        <v>林一輝</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07:45～18:20</v>
      </c>
      <c r="C5" s="9"/>
      <c r="D5" s="9"/>
      <c r="E5" s="9"/>
      <c r="F5" s="10"/>
      <c r="G5" s="11"/>
      <c r="H5" s="11"/>
      <c r="I5" s="11"/>
    </row>
    <row r="6" ht="22.5" customHeight="1">
      <c r="A6" s="7" t="s">
        <v>4</v>
      </c>
      <c r="B6" s="7" t="s">
        <v>5</v>
      </c>
      <c r="C6" s="7" t="s">
        <v>6</v>
      </c>
      <c r="D6" s="12" t="s">
        <v>7</v>
      </c>
      <c r="E6" s="9"/>
      <c r="F6" s="10"/>
      <c r="G6" s="13"/>
      <c r="H6" s="13"/>
      <c r="I6" s="13"/>
    </row>
    <row r="7" ht="22.5" customHeight="1">
      <c r="A7" s="73" t="s">
        <v>8</v>
      </c>
      <c r="B7" s="15">
        <v>0.3229166666666667</v>
      </c>
      <c r="C7" s="16">
        <v>0.7638888888888888</v>
      </c>
      <c r="D7" s="70"/>
      <c r="E7" s="18"/>
      <c r="F7" s="19"/>
      <c r="G7" s="11"/>
      <c r="H7" s="11"/>
      <c r="I7" s="11"/>
    </row>
    <row r="8" ht="22.5" customHeight="1">
      <c r="A8" s="74"/>
      <c r="B8" s="64"/>
      <c r="C8" s="16"/>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177</v>
      </c>
      <c r="B14" s="34" t="s">
        <v>63</v>
      </c>
      <c r="C14" s="18"/>
      <c r="D14" s="18"/>
      <c r="E14" s="18"/>
      <c r="F14" s="19"/>
      <c r="G14" s="13"/>
      <c r="H14" s="13"/>
      <c r="I14" s="13"/>
    </row>
    <row r="15" ht="22.5" customHeight="1">
      <c r="A15" s="33" t="s">
        <v>178</v>
      </c>
      <c r="B15" s="62" t="s">
        <v>179</v>
      </c>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180</v>
      </c>
      <c r="B23" s="44"/>
      <c r="C23" s="44"/>
      <c r="D23" s="43"/>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181</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182</v>
      </c>
      <c r="B39" s="44"/>
      <c r="C39" s="44"/>
      <c r="D39" s="67" t="s">
        <v>176</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3" width="12.33"/>
    <col customWidth="1" min="4" max="4" width="16.78"/>
    <col customWidth="1" min="5" max="5" width="17.11"/>
    <col customWidth="1" min="6" max="6" width="17.89"/>
    <col customWidth="1" min="7" max="7" width="6.11"/>
    <col customWidth="1" min="8" max="8" width="19.33"/>
    <col customWidth="1" min="9" max="9" width="98.56"/>
  </cols>
  <sheetData>
    <row r="1" ht="30.0" customHeight="1">
      <c r="A1" s="1" t="s">
        <v>0</v>
      </c>
      <c r="G1" s="1"/>
      <c r="H1" s="1"/>
      <c r="I1" s="1"/>
    </row>
    <row r="2" ht="21.0" customHeight="1">
      <c r="A2" s="2">
        <v>46110.0</v>
      </c>
      <c r="G2" s="3"/>
      <c r="H2" s="3"/>
      <c r="I2" s="3"/>
    </row>
    <row r="3" ht="21.0" customHeight="1">
      <c r="A3" s="4" t="str">
        <f>A7</f>
        <v>坂本 渉</v>
      </c>
      <c r="B3" s="5"/>
      <c r="C3" s="5"/>
      <c r="D3" s="5"/>
      <c r="E3" s="5"/>
      <c r="F3" s="5"/>
      <c r="G3" s="6"/>
      <c r="H3" s="6"/>
      <c r="I3" s="6"/>
    </row>
    <row r="4" ht="22.5" customHeight="1">
      <c r="A4" s="7" t="s">
        <v>1</v>
      </c>
      <c r="B4" s="8" t="s">
        <v>2</v>
      </c>
      <c r="C4" s="9"/>
      <c r="D4" s="9"/>
      <c r="E4" s="9"/>
      <c r="F4" s="10"/>
      <c r="G4" s="11"/>
      <c r="H4" s="11"/>
      <c r="I4" s="11"/>
    </row>
    <row r="5" ht="22.5" customHeight="1">
      <c r="A5" s="7" t="s">
        <v>3</v>
      </c>
      <c r="B5" s="8" t="str">
        <f>CONCATENATE(TEXT(MIN(B7:B10),"hh:mm"),"～",TEXT(MAX(C7:C10),"hh:mm"))</f>
        <v>07:30～22:05</v>
      </c>
      <c r="C5" s="9"/>
      <c r="D5" s="9"/>
      <c r="E5" s="9"/>
      <c r="F5" s="10"/>
      <c r="G5" s="11"/>
      <c r="H5" s="11"/>
      <c r="I5" s="11"/>
    </row>
    <row r="6" ht="22.5" customHeight="1">
      <c r="A6" s="7" t="s">
        <v>4</v>
      </c>
      <c r="B6" s="7" t="s">
        <v>5</v>
      </c>
      <c r="C6" s="7" t="s">
        <v>6</v>
      </c>
      <c r="D6" s="12" t="s">
        <v>7</v>
      </c>
      <c r="E6" s="9"/>
      <c r="F6" s="10"/>
      <c r="G6" s="13"/>
      <c r="H6" s="13"/>
      <c r="I6" s="13"/>
    </row>
    <row r="7" ht="22.5" customHeight="1">
      <c r="A7" s="73" t="s">
        <v>113</v>
      </c>
      <c r="B7" s="15">
        <v>0.3125</v>
      </c>
      <c r="C7" s="16">
        <v>0.9201388888888888</v>
      </c>
      <c r="D7" s="70"/>
      <c r="E7" s="18"/>
      <c r="F7" s="19"/>
      <c r="G7" s="11"/>
      <c r="H7" s="11"/>
      <c r="I7" s="11"/>
    </row>
    <row r="8" ht="22.5" customHeight="1">
      <c r="A8" s="74" t="s">
        <v>154</v>
      </c>
      <c r="B8" s="64">
        <v>0.3125</v>
      </c>
      <c r="C8" s="16">
        <v>0.9201388888888888</v>
      </c>
      <c r="D8" s="72"/>
      <c r="E8" s="23"/>
      <c r="F8" s="24"/>
      <c r="G8" s="11"/>
      <c r="H8" s="11"/>
      <c r="I8" s="11"/>
    </row>
    <row r="9" ht="22.5" customHeight="1">
      <c r="A9" s="33"/>
      <c r="B9" s="21"/>
      <c r="C9" s="21"/>
      <c r="D9" s="22"/>
      <c r="E9" s="23"/>
      <c r="F9" s="24"/>
      <c r="G9" s="11"/>
      <c r="H9" s="11"/>
      <c r="I9" s="11"/>
    </row>
    <row r="10" ht="22.5" customHeight="1">
      <c r="A10" s="25"/>
      <c r="B10" s="26"/>
      <c r="C10" s="26"/>
      <c r="D10" s="27"/>
      <c r="E10" s="28"/>
      <c r="F10" s="29"/>
      <c r="G10" s="11"/>
      <c r="H10" s="11"/>
      <c r="I10" s="11"/>
    </row>
    <row r="11" ht="18.0" customHeight="1">
      <c r="A11" s="11"/>
      <c r="B11" s="11"/>
      <c r="C11" s="11"/>
      <c r="D11" s="11"/>
      <c r="E11" s="11"/>
      <c r="F11" s="11"/>
      <c r="G11" s="11"/>
      <c r="H11" s="11"/>
      <c r="I11" s="11"/>
    </row>
    <row r="12" ht="22.5" customHeight="1">
      <c r="A12" s="30" t="s">
        <v>9</v>
      </c>
      <c r="B12" s="9"/>
      <c r="C12" s="9"/>
      <c r="D12" s="9"/>
      <c r="E12" s="9"/>
      <c r="F12" s="10"/>
      <c r="G12" s="11"/>
      <c r="H12" s="11"/>
      <c r="I12" s="11"/>
    </row>
    <row r="13" ht="22.5" customHeight="1">
      <c r="A13" s="31" t="s">
        <v>10</v>
      </c>
      <c r="B13" s="32" t="s">
        <v>11</v>
      </c>
      <c r="C13" s="9"/>
      <c r="D13" s="9"/>
      <c r="E13" s="9"/>
      <c r="F13" s="10"/>
      <c r="G13" s="13"/>
      <c r="H13" s="13"/>
      <c r="I13" s="13"/>
    </row>
    <row r="14" ht="22.5" customHeight="1">
      <c r="A14" s="33" t="s">
        <v>183</v>
      </c>
      <c r="B14" s="34" t="s">
        <v>184</v>
      </c>
      <c r="C14" s="18"/>
      <c r="D14" s="18"/>
      <c r="E14" s="18"/>
      <c r="F14" s="19"/>
      <c r="G14" s="13"/>
      <c r="H14" s="13"/>
      <c r="I14" s="13"/>
    </row>
    <row r="15" ht="22.5" customHeight="1">
      <c r="A15" s="33"/>
      <c r="B15" s="62"/>
      <c r="C15" s="36"/>
      <c r="D15" s="36"/>
      <c r="E15" s="36"/>
      <c r="F15" s="37"/>
      <c r="G15" s="13"/>
      <c r="H15" s="13"/>
      <c r="I15" s="13"/>
    </row>
    <row r="16" ht="22.5" customHeight="1">
      <c r="A16" s="33"/>
      <c r="B16" s="63"/>
      <c r="C16" s="23"/>
      <c r="D16" s="23"/>
      <c r="E16" s="23"/>
      <c r="F16" s="24"/>
      <c r="G16" s="13"/>
      <c r="H16" s="13"/>
      <c r="I16" s="13"/>
    </row>
    <row r="17" ht="22.5" customHeight="1">
      <c r="A17" s="14"/>
      <c r="B17" s="35"/>
      <c r="C17" s="36"/>
      <c r="D17" s="36"/>
      <c r="E17" s="36"/>
      <c r="F17" s="37"/>
      <c r="G17" s="13"/>
      <c r="H17" s="13"/>
      <c r="I17" s="13"/>
    </row>
    <row r="18" ht="22.5" customHeight="1">
      <c r="A18" s="14"/>
      <c r="B18" s="35"/>
      <c r="C18" s="36"/>
      <c r="D18" s="36"/>
      <c r="E18" s="36"/>
      <c r="F18" s="37"/>
      <c r="G18" s="13"/>
      <c r="H18" s="13"/>
      <c r="I18" s="13"/>
    </row>
    <row r="19" ht="22.5" customHeight="1">
      <c r="A19" s="14"/>
      <c r="B19" s="38"/>
      <c r="C19" s="23"/>
      <c r="D19" s="23"/>
      <c r="E19" s="23"/>
      <c r="F19" s="24"/>
      <c r="G19" s="13"/>
      <c r="H19" s="13"/>
      <c r="I19" s="13"/>
    </row>
    <row r="20" ht="22.5" customHeight="1">
      <c r="A20" s="39"/>
      <c r="B20" s="40"/>
      <c r="C20" s="28"/>
      <c r="D20" s="28"/>
      <c r="E20" s="28"/>
      <c r="F20" s="29"/>
      <c r="G20" s="13"/>
      <c r="H20" s="13"/>
      <c r="I20" s="13"/>
    </row>
    <row r="21" ht="18.0" customHeight="1">
      <c r="A21" s="11"/>
      <c r="B21" s="11"/>
      <c r="C21" s="11"/>
      <c r="D21" s="11"/>
      <c r="E21" s="11"/>
      <c r="F21" s="11"/>
      <c r="G21" s="11"/>
      <c r="H21" s="11"/>
      <c r="I21" s="11"/>
    </row>
    <row r="22" ht="23.25" customHeight="1">
      <c r="A22" s="30" t="s">
        <v>14</v>
      </c>
      <c r="B22" s="9"/>
      <c r="C22" s="9"/>
      <c r="D22" s="9"/>
      <c r="E22" s="9"/>
      <c r="F22" s="10"/>
      <c r="G22" s="41"/>
      <c r="H22" s="42" t="s">
        <v>15</v>
      </c>
      <c r="I22" s="42" t="s">
        <v>16</v>
      </c>
    </row>
    <row r="23" ht="18.0" customHeight="1">
      <c r="A23" s="43" t="s">
        <v>185</v>
      </c>
      <c r="B23" s="44"/>
      <c r="C23" s="44"/>
      <c r="D23" s="43"/>
      <c r="E23" s="44"/>
      <c r="F23" s="46"/>
      <c r="G23" s="41"/>
      <c r="H23" s="42" t="s">
        <v>18</v>
      </c>
      <c r="I23" s="47" t="s">
        <v>19</v>
      </c>
    </row>
    <row r="24" ht="18.0" customHeight="1">
      <c r="A24" s="48"/>
      <c r="D24" s="48"/>
      <c r="F24" s="49"/>
      <c r="G24" s="41"/>
      <c r="H24" s="42" t="s">
        <v>20</v>
      </c>
      <c r="I24" s="47" t="s">
        <v>21</v>
      </c>
    </row>
    <row r="25" ht="18.0" customHeight="1">
      <c r="A25" s="48"/>
      <c r="D25" s="48"/>
      <c r="F25" s="49"/>
      <c r="G25" s="41"/>
      <c r="H25" s="42" t="s">
        <v>22</v>
      </c>
      <c r="I25" s="47" t="s">
        <v>23</v>
      </c>
    </row>
    <row r="26" ht="18.0" customHeight="1">
      <c r="A26" s="50"/>
      <c r="B26" s="5"/>
      <c r="C26" s="5"/>
      <c r="D26" s="50"/>
      <c r="E26" s="5"/>
      <c r="F26" s="51"/>
      <c r="G26" s="41"/>
      <c r="H26" s="42" t="s">
        <v>24</v>
      </c>
      <c r="I26" s="47" t="s">
        <v>25</v>
      </c>
    </row>
    <row r="27" ht="18.0" customHeight="1">
      <c r="A27" s="11"/>
      <c r="B27" s="11"/>
      <c r="C27" s="11"/>
      <c r="D27" s="11"/>
      <c r="E27" s="11"/>
      <c r="F27" s="11"/>
      <c r="G27" s="11"/>
      <c r="H27" s="11"/>
      <c r="I27" s="11"/>
    </row>
    <row r="28" ht="22.5" customHeight="1">
      <c r="A28" s="30" t="s">
        <v>26</v>
      </c>
      <c r="B28" s="9"/>
      <c r="C28" s="9"/>
      <c r="D28" s="9"/>
      <c r="E28" s="9"/>
      <c r="F28" s="10"/>
      <c r="G28" s="11"/>
      <c r="H28" s="11"/>
      <c r="I28" s="11"/>
    </row>
    <row r="29" ht="45.0" customHeight="1">
      <c r="A29" s="52" t="s">
        <v>186</v>
      </c>
      <c r="B29" s="44"/>
      <c r="C29" s="44"/>
      <c r="D29" s="44"/>
      <c r="E29" s="44"/>
      <c r="F29" s="46"/>
      <c r="G29" s="53"/>
      <c r="H29" s="53"/>
      <c r="I29" s="53"/>
    </row>
    <row r="30" ht="45.0" customHeight="1">
      <c r="A30" s="48"/>
      <c r="F30" s="49"/>
      <c r="G30" s="53"/>
      <c r="H30" s="53"/>
      <c r="I30" s="53"/>
    </row>
    <row r="31" ht="45.0" customHeight="1">
      <c r="A31" s="48"/>
      <c r="F31" s="49"/>
      <c r="G31" s="53"/>
      <c r="H31" s="53"/>
      <c r="I31" s="53"/>
    </row>
    <row r="32" ht="45.0" customHeight="1">
      <c r="A32" s="48"/>
      <c r="F32" s="49"/>
      <c r="G32" s="53"/>
      <c r="H32" s="53"/>
      <c r="I32" s="53"/>
    </row>
    <row r="33" ht="104.25" customHeight="1">
      <c r="A33" s="50"/>
      <c r="B33" s="5"/>
      <c r="C33" s="5"/>
      <c r="D33" s="5"/>
      <c r="E33" s="5"/>
      <c r="F33" s="51"/>
      <c r="G33" s="53"/>
      <c r="H33" s="53"/>
      <c r="I33" s="53"/>
    </row>
    <row r="34" ht="18.0" customHeight="1">
      <c r="A34" s="11"/>
      <c r="B34" s="11"/>
      <c r="C34" s="11"/>
      <c r="D34" s="11"/>
      <c r="E34" s="11"/>
      <c r="F34" s="11"/>
      <c r="G34" s="11"/>
      <c r="H34" s="11"/>
      <c r="I34" s="11"/>
    </row>
    <row r="35" ht="22.5" customHeight="1">
      <c r="A35" s="30" t="s">
        <v>28</v>
      </c>
      <c r="B35" s="9"/>
      <c r="C35" s="9"/>
      <c r="D35" s="10"/>
      <c r="E35" s="11"/>
      <c r="F35" s="11"/>
      <c r="G35" s="11"/>
      <c r="H35" s="11"/>
      <c r="I35" s="11"/>
    </row>
    <row r="36" ht="22.5" customHeight="1">
      <c r="A36" s="54" t="s">
        <v>29</v>
      </c>
      <c r="B36" s="55">
        <v>6.0</v>
      </c>
      <c r="C36" s="56" t="s">
        <v>30</v>
      </c>
      <c r="D36" s="57">
        <v>45449.0</v>
      </c>
      <c r="E36" s="11"/>
      <c r="F36" s="11"/>
      <c r="G36" s="11"/>
      <c r="H36" s="11"/>
      <c r="I36" s="11"/>
    </row>
    <row r="37" ht="22.5" customHeight="1">
      <c r="A37" s="11"/>
      <c r="B37" s="11"/>
      <c r="C37" s="11"/>
      <c r="D37" s="11"/>
      <c r="E37" s="11"/>
      <c r="F37" s="11"/>
      <c r="G37" s="11"/>
      <c r="H37" s="11"/>
      <c r="I37" s="11"/>
    </row>
    <row r="38" ht="22.5" customHeight="1">
      <c r="A38" s="30" t="s">
        <v>31</v>
      </c>
      <c r="B38" s="9"/>
      <c r="C38" s="9"/>
      <c r="D38" s="9"/>
      <c r="E38" s="9"/>
      <c r="F38" s="10"/>
      <c r="G38" s="11"/>
      <c r="H38" s="11"/>
      <c r="I38" s="11"/>
    </row>
    <row r="39" ht="22.5" customHeight="1">
      <c r="A39" s="75" t="s">
        <v>187</v>
      </c>
      <c r="B39" s="44"/>
      <c r="C39" s="44"/>
      <c r="D39" s="67" t="s">
        <v>176</v>
      </c>
      <c r="E39" s="44"/>
      <c r="F39" s="46"/>
      <c r="G39" s="60"/>
      <c r="H39" s="60"/>
      <c r="I39" s="60"/>
    </row>
    <row r="40" ht="18.0" customHeight="1">
      <c r="A40" s="48"/>
      <c r="F40" s="49"/>
      <c r="G40" s="60"/>
      <c r="H40" s="60"/>
      <c r="I40" s="60"/>
    </row>
    <row r="41" ht="22.5" customHeight="1">
      <c r="A41" s="48"/>
      <c r="F41" s="49"/>
      <c r="G41" s="60"/>
      <c r="H41" s="60"/>
      <c r="I41" s="60"/>
    </row>
    <row r="42" ht="22.5" customHeight="1">
      <c r="A42" s="48"/>
      <c r="F42" s="49"/>
      <c r="G42" s="60"/>
      <c r="H42" s="60"/>
      <c r="I42" s="60"/>
    </row>
    <row r="43" ht="22.5" customHeight="1">
      <c r="A43" s="48"/>
      <c r="F43" s="49"/>
      <c r="G43" s="60"/>
      <c r="H43" s="60"/>
      <c r="I43" s="60"/>
    </row>
    <row r="44" ht="22.5" customHeight="1">
      <c r="A44" s="48"/>
      <c r="F44" s="49"/>
      <c r="G44" s="60"/>
      <c r="H44" s="60"/>
      <c r="I44" s="60"/>
    </row>
    <row r="45" ht="22.5" customHeight="1">
      <c r="A45" s="48"/>
      <c r="F45" s="49"/>
      <c r="G45" s="60"/>
      <c r="H45" s="60"/>
      <c r="I45" s="60"/>
    </row>
    <row r="46" ht="22.5" customHeight="1">
      <c r="A46" s="48"/>
      <c r="F46" s="49"/>
      <c r="G46" s="60"/>
      <c r="H46" s="60"/>
      <c r="I46" s="60"/>
    </row>
    <row r="47" ht="22.5" customHeight="1">
      <c r="A47" s="48"/>
      <c r="F47" s="49"/>
      <c r="G47" s="60"/>
      <c r="H47" s="60"/>
      <c r="I47" s="60"/>
    </row>
    <row r="48" ht="22.5" customHeight="1">
      <c r="A48" s="48"/>
      <c r="F48" s="49"/>
      <c r="G48" s="60"/>
      <c r="H48" s="60"/>
      <c r="I48" s="60"/>
    </row>
    <row r="49" ht="69.75" customHeight="1">
      <c r="A49" s="50"/>
      <c r="B49" s="5"/>
      <c r="C49" s="5"/>
      <c r="D49" s="5"/>
      <c r="E49" s="5"/>
      <c r="F49" s="51"/>
      <c r="G49" s="60"/>
      <c r="H49" s="60"/>
      <c r="I49" s="60"/>
    </row>
    <row r="50" ht="19.5" customHeight="1">
      <c r="A50" s="11"/>
      <c r="B50" s="11"/>
      <c r="C50" s="11"/>
      <c r="D50" s="11"/>
      <c r="E50" s="11"/>
      <c r="F50" s="11"/>
      <c r="G50" s="11"/>
      <c r="H50" s="11"/>
      <c r="I50" s="11"/>
    </row>
    <row r="51" ht="19.5" customHeight="1">
      <c r="A51" s="11"/>
      <c r="B51" s="11"/>
      <c r="C51" s="11"/>
      <c r="D51" s="61"/>
      <c r="E51" s="61"/>
      <c r="F51" s="61"/>
      <c r="G51" s="11"/>
      <c r="H51" s="11"/>
      <c r="I51" s="11"/>
    </row>
    <row r="52" ht="19.5" customHeight="1">
      <c r="A52" s="11"/>
      <c r="B52" s="11"/>
      <c r="C52" s="11"/>
      <c r="D52" s="61"/>
      <c r="E52" s="61"/>
      <c r="F52" s="61"/>
      <c r="G52" s="11"/>
      <c r="H52" s="11"/>
      <c r="I52" s="11"/>
    </row>
    <row r="53" ht="19.5" customHeight="1">
      <c r="A53" s="11"/>
      <c r="B53" s="11"/>
      <c r="C53" s="11"/>
      <c r="D53" s="11"/>
      <c r="E53" s="11"/>
      <c r="F53" s="11"/>
      <c r="G53" s="11"/>
      <c r="H53" s="11"/>
      <c r="I53" s="11"/>
    </row>
    <row r="54" ht="19.5" customHeight="1">
      <c r="A54" s="11"/>
      <c r="B54" s="11"/>
      <c r="C54" s="11"/>
      <c r="D54" s="11"/>
      <c r="E54" s="11"/>
      <c r="F54" s="11"/>
      <c r="G54" s="11"/>
      <c r="H54" s="11"/>
      <c r="I54" s="11"/>
    </row>
    <row r="55" ht="19.5" customHeight="1">
      <c r="A55" s="11"/>
      <c r="B55" s="11"/>
      <c r="C55" s="11"/>
      <c r="D55" s="11"/>
      <c r="E55" s="11"/>
      <c r="F55" s="11"/>
      <c r="G55" s="11"/>
      <c r="H55" s="11"/>
      <c r="I55" s="11"/>
    </row>
    <row r="56" ht="19.5" customHeight="1">
      <c r="A56" s="11"/>
      <c r="B56" s="11"/>
      <c r="C56" s="11"/>
      <c r="D56" s="11"/>
      <c r="E56" s="11"/>
      <c r="F56" s="11"/>
      <c r="G56" s="11"/>
      <c r="H56" s="11"/>
      <c r="I56" s="11"/>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D23:F26"/>
    <mergeCell ref="A28:F28"/>
    <mergeCell ref="A29:F33"/>
    <mergeCell ref="A35:D35"/>
    <mergeCell ref="A38:F38"/>
    <mergeCell ref="A39:C49"/>
    <mergeCell ref="D39:F49"/>
    <mergeCell ref="B16:F16"/>
    <mergeCell ref="B17:F17"/>
    <mergeCell ref="B18:F18"/>
    <mergeCell ref="B19:F19"/>
    <mergeCell ref="B20:F20"/>
    <mergeCell ref="A22:F22"/>
    <mergeCell ref="A23:C26"/>
  </mergeCells>
  <printOptions/>
  <pageMargins bottom="0.5" footer="0.0" header="0.0" left="0.4330708661417323" right="0.4330708661417323" top="0.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2024-04-01T10:43:15Z</dcterms:created>
  <dc:creator>Microsoft Office User</dc:creator>
</cp:coreProperties>
</file>